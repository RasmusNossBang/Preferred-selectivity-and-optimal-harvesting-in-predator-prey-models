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14729\Desktop\BESTEMT\"/>
    </mc:Choice>
  </mc:AlternateContent>
  <xr:revisionPtr revIDLastSave="0" documentId="13_ncr:1_{E7F56FD4-EEA6-4F38-AF99-F67DA04D56F8}" xr6:coauthVersionLast="47" xr6:coauthVersionMax="47" xr10:uidLastSave="{00000000-0000-0000-0000-000000000000}"/>
  <bookViews>
    <workbookView xWindow="-120" yWindow="-120" windowWidth="29040" windowHeight="15840" activeTab="4" xr2:uid="{A39CD2DE-6F31-4B91-8DF1-5DEF2E1A0F0E}"/>
  </bookViews>
  <sheets>
    <sheet name="Model" sheetId="1" r:id="rId1"/>
    <sheet name="Output" sheetId="5" r:id="rId2"/>
    <sheet name="Converted Output" sheetId="6" r:id="rId3"/>
    <sheet name="SENS SERIES 2 - SEL1" sheetId="13" r:id="rId4"/>
    <sheet name="SENS SERIES 2 - SEL2" sheetId="14" r:id="rId5"/>
    <sheet name="SENS SERIES 1 - SEL1" sheetId="11" r:id="rId6"/>
    <sheet name="SENS SERIES 1 - SEL2" sheetId="12" r:id="rId7"/>
    <sheet name="SCENARIO SERIES 1" sheetId="7" r:id="rId8"/>
    <sheet name="SCENARIO SERIES 2" sheetId="8" r:id="rId9"/>
    <sheet name="SCENARIO SERIES 3" sheetId="9" r:id="rId10"/>
    <sheet name="SCENARIO SERIES 4" sheetId="10" r:id="rId11"/>
  </sheets>
  <definedNames>
    <definedName name="solver_adj" localSheetId="0" hidden="1">Model!$P$3:$Q$3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Model!$B$51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Model!$B$4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el1" localSheetId="0" hidden="1">5</definedName>
    <definedName name="solver_rhs1" localSheetId="0" hidden="1">"binary"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3" i="1" l="1"/>
  <c r="L64" i="1" s="1"/>
  <c r="C106" i="1"/>
  <c r="D106" i="1"/>
  <c r="E106" i="1" s="1"/>
  <c r="F106" i="1" s="1"/>
  <c r="G106" i="1" s="1"/>
  <c r="H106" i="1" s="1"/>
  <c r="I106" i="1" s="1"/>
  <c r="J106" i="1" s="1"/>
  <c r="K106" i="1" s="1"/>
  <c r="L106" i="1" s="1"/>
  <c r="M106" i="1" s="1"/>
  <c r="B106" i="1"/>
  <c r="G63" i="1" l="1"/>
  <c r="H65" i="1"/>
  <c r="I63" i="1"/>
  <c r="I66" i="1"/>
  <c r="J65" i="1"/>
  <c r="K64" i="1"/>
  <c r="H63" i="1"/>
  <c r="H66" i="1"/>
  <c r="I65" i="1"/>
  <c r="J64" i="1"/>
  <c r="I64" i="1"/>
  <c r="E63" i="1"/>
  <c r="E68" i="1" s="1"/>
  <c r="F63" i="1"/>
  <c r="G65" i="1"/>
  <c r="M63" i="1"/>
  <c r="M66" i="1"/>
  <c r="E66" i="1"/>
  <c r="F65" i="1"/>
  <c r="G64" i="1"/>
  <c r="G66" i="1"/>
  <c r="H64" i="1"/>
  <c r="L63" i="1"/>
  <c r="L66" i="1"/>
  <c r="M65" i="1"/>
  <c r="E65" i="1"/>
  <c r="F64" i="1"/>
  <c r="K63" i="1"/>
  <c r="K66" i="1"/>
  <c r="L65" i="1"/>
  <c r="M64" i="1"/>
  <c r="E64" i="1"/>
  <c r="F66" i="1"/>
  <c r="J63" i="1"/>
  <c r="J66" i="1"/>
  <c r="K65" i="1"/>
  <c r="C36" i="1" l="1"/>
  <c r="B36" i="1"/>
  <c r="B38" i="1"/>
  <c r="B39" i="1"/>
  <c r="C39" i="1"/>
  <c r="B40" i="1"/>
  <c r="C40" i="1"/>
  <c r="B41" i="1"/>
  <c r="C41" i="1"/>
  <c r="C38" i="1"/>
  <c r="B31" i="1"/>
  <c r="E58" i="1"/>
  <c r="E59" i="1" s="1"/>
  <c r="E36" i="1" s="1"/>
  <c r="M58" i="1"/>
  <c r="M59" i="1" s="1"/>
  <c r="M36" i="1" s="1"/>
  <c r="L58" i="1"/>
  <c r="L59" i="1" s="1"/>
  <c r="L36" i="1" s="1"/>
  <c r="K58" i="1"/>
  <c r="K59" i="1" s="1"/>
  <c r="K36" i="1" s="1"/>
  <c r="J58" i="1"/>
  <c r="J59" i="1" s="1"/>
  <c r="J36" i="1" s="1"/>
  <c r="I58" i="1"/>
  <c r="I59" i="1" s="1"/>
  <c r="I36" i="1" s="1"/>
  <c r="H58" i="1"/>
  <c r="H59" i="1" s="1"/>
  <c r="H36" i="1" s="1"/>
  <c r="G58" i="1"/>
  <c r="G59" i="1" s="1"/>
  <c r="G36" i="1" s="1"/>
  <c r="F58" i="1"/>
  <c r="F59" i="1" s="1"/>
  <c r="F36" i="1" s="1"/>
  <c r="D58" i="1"/>
  <c r="D59" i="1"/>
  <c r="D64" i="1"/>
  <c r="D69" i="1" s="1"/>
  <c r="D39" i="1" s="1"/>
  <c r="D65" i="1"/>
  <c r="D70" i="1" s="1"/>
  <c r="D40" i="1" s="1"/>
  <c r="D66" i="1"/>
  <c r="D71" i="1" s="1"/>
  <c r="D41" i="1" s="1"/>
  <c r="C31" i="1"/>
  <c r="D31" i="1"/>
  <c r="E31" i="1"/>
  <c r="F31" i="1"/>
  <c r="DJ3" i="1" s="1"/>
  <c r="G31" i="1"/>
  <c r="H31" i="1"/>
  <c r="I31" i="1"/>
  <c r="J31" i="1"/>
  <c r="K31" i="1"/>
  <c r="L31" i="1"/>
  <c r="M31" i="1"/>
  <c r="AC3" i="6"/>
  <c r="B46" i="6"/>
  <c r="C46" i="6"/>
  <c r="D46" i="6"/>
  <c r="E46" i="6"/>
  <c r="F46" i="6"/>
  <c r="G46" i="6"/>
  <c r="H46" i="6"/>
  <c r="I46" i="6"/>
  <c r="J46" i="6"/>
  <c r="B47" i="6"/>
  <c r="C47" i="6"/>
  <c r="D47" i="6"/>
  <c r="E47" i="6"/>
  <c r="F47" i="6"/>
  <c r="G47" i="6"/>
  <c r="H47" i="6"/>
  <c r="I47" i="6"/>
  <c r="J47" i="6"/>
  <c r="B48" i="6"/>
  <c r="C48" i="6"/>
  <c r="D48" i="6"/>
  <c r="E48" i="6"/>
  <c r="F48" i="6"/>
  <c r="G48" i="6"/>
  <c r="H48" i="6"/>
  <c r="I48" i="6"/>
  <c r="J48" i="6"/>
  <c r="B49" i="6"/>
  <c r="C49" i="6"/>
  <c r="D49" i="6"/>
  <c r="E49" i="6"/>
  <c r="F49" i="6"/>
  <c r="G49" i="6"/>
  <c r="H49" i="6"/>
  <c r="I49" i="6"/>
  <c r="J49" i="6"/>
  <c r="B50" i="6"/>
  <c r="C50" i="6"/>
  <c r="D50" i="6"/>
  <c r="E50" i="6"/>
  <c r="F50" i="6"/>
  <c r="G50" i="6"/>
  <c r="H50" i="6"/>
  <c r="I50" i="6"/>
  <c r="J50" i="6"/>
  <c r="B51" i="6"/>
  <c r="C51" i="6"/>
  <c r="D51" i="6"/>
  <c r="E51" i="6"/>
  <c r="F51" i="6"/>
  <c r="G51" i="6"/>
  <c r="H51" i="6"/>
  <c r="I51" i="6"/>
  <c r="J51" i="6"/>
  <c r="B52" i="6"/>
  <c r="C52" i="6"/>
  <c r="D52" i="6"/>
  <c r="E52" i="6"/>
  <c r="F52" i="6"/>
  <c r="G52" i="6"/>
  <c r="H52" i="6"/>
  <c r="I52" i="6"/>
  <c r="J52" i="6"/>
  <c r="C45" i="6"/>
  <c r="D45" i="6"/>
  <c r="E45" i="6"/>
  <c r="F45" i="6"/>
  <c r="G45" i="6"/>
  <c r="H45" i="6"/>
  <c r="I45" i="6"/>
  <c r="J45" i="6"/>
  <c r="B45" i="6"/>
  <c r="M46" i="6"/>
  <c r="N46" i="6"/>
  <c r="O46" i="6"/>
  <c r="P46" i="6"/>
  <c r="Q46" i="6"/>
  <c r="R46" i="6"/>
  <c r="S46" i="6"/>
  <c r="T46" i="6"/>
  <c r="U46" i="6"/>
  <c r="M47" i="6"/>
  <c r="N47" i="6"/>
  <c r="O47" i="6"/>
  <c r="P47" i="6"/>
  <c r="Q47" i="6"/>
  <c r="R47" i="6"/>
  <c r="S47" i="6"/>
  <c r="T47" i="6"/>
  <c r="U47" i="6"/>
  <c r="M48" i="6"/>
  <c r="N48" i="6"/>
  <c r="O48" i="6"/>
  <c r="P48" i="6"/>
  <c r="Q48" i="6"/>
  <c r="R48" i="6"/>
  <c r="S48" i="6"/>
  <c r="T48" i="6"/>
  <c r="U48" i="6"/>
  <c r="M49" i="6"/>
  <c r="N49" i="6"/>
  <c r="O49" i="6"/>
  <c r="P49" i="6"/>
  <c r="Q49" i="6"/>
  <c r="R49" i="6"/>
  <c r="S49" i="6"/>
  <c r="T49" i="6"/>
  <c r="U49" i="6"/>
  <c r="M50" i="6"/>
  <c r="N50" i="6"/>
  <c r="O50" i="6"/>
  <c r="P50" i="6"/>
  <c r="Q50" i="6"/>
  <c r="R50" i="6"/>
  <c r="S50" i="6"/>
  <c r="T50" i="6"/>
  <c r="U50" i="6"/>
  <c r="M51" i="6"/>
  <c r="N51" i="6"/>
  <c r="O51" i="6"/>
  <c r="P51" i="6"/>
  <c r="Q51" i="6"/>
  <c r="R51" i="6"/>
  <c r="S51" i="6"/>
  <c r="T51" i="6"/>
  <c r="U51" i="6"/>
  <c r="M52" i="6"/>
  <c r="N52" i="6"/>
  <c r="O52" i="6"/>
  <c r="P52" i="6"/>
  <c r="Q52" i="6"/>
  <c r="R52" i="6"/>
  <c r="S52" i="6"/>
  <c r="T52" i="6"/>
  <c r="U52" i="6"/>
  <c r="N45" i="6"/>
  <c r="O45" i="6"/>
  <c r="P45" i="6"/>
  <c r="Q45" i="6"/>
  <c r="R45" i="6"/>
  <c r="S45" i="6"/>
  <c r="T45" i="6"/>
  <c r="U45" i="6"/>
  <c r="M45" i="6"/>
  <c r="M38" i="6"/>
  <c r="N38" i="6"/>
  <c r="O38" i="6"/>
  <c r="P38" i="6"/>
  <c r="Q38" i="6"/>
  <c r="R38" i="6"/>
  <c r="S38" i="6"/>
  <c r="T38" i="6"/>
  <c r="U38" i="6"/>
  <c r="M32" i="6"/>
  <c r="N32" i="6"/>
  <c r="O32" i="6"/>
  <c r="P32" i="6"/>
  <c r="Q32" i="6"/>
  <c r="R32" i="6"/>
  <c r="S32" i="6"/>
  <c r="T32" i="6"/>
  <c r="U32" i="6"/>
  <c r="M33" i="6"/>
  <c r="N33" i="6"/>
  <c r="O33" i="6"/>
  <c r="P33" i="6"/>
  <c r="Q33" i="6"/>
  <c r="R33" i="6"/>
  <c r="S33" i="6"/>
  <c r="T33" i="6"/>
  <c r="U33" i="6"/>
  <c r="M34" i="6"/>
  <c r="N34" i="6"/>
  <c r="O34" i="6"/>
  <c r="P34" i="6"/>
  <c r="Q34" i="6"/>
  <c r="R34" i="6"/>
  <c r="S34" i="6"/>
  <c r="T34" i="6"/>
  <c r="U34" i="6"/>
  <c r="M35" i="6"/>
  <c r="N35" i="6"/>
  <c r="O35" i="6"/>
  <c r="P35" i="6"/>
  <c r="Q35" i="6"/>
  <c r="R35" i="6"/>
  <c r="S35" i="6"/>
  <c r="T35" i="6"/>
  <c r="U35" i="6"/>
  <c r="M36" i="6"/>
  <c r="N36" i="6"/>
  <c r="O36" i="6"/>
  <c r="P36" i="6"/>
  <c r="Q36" i="6"/>
  <c r="R36" i="6"/>
  <c r="S36" i="6"/>
  <c r="T36" i="6"/>
  <c r="U36" i="6"/>
  <c r="M37" i="6"/>
  <c r="N37" i="6"/>
  <c r="O37" i="6"/>
  <c r="P37" i="6"/>
  <c r="Q37" i="6"/>
  <c r="R37" i="6"/>
  <c r="S37" i="6"/>
  <c r="T37" i="6"/>
  <c r="U37" i="6"/>
  <c r="N31" i="6"/>
  <c r="O31" i="6"/>
  <c r="P31" i="6"/>
  <c r="Q31" i="6"/>
  <c r="R31" i="6"/>
  <c r="S31" i="6"/>
  <c r="T31" i="6"/>
  <c r="U31" i="6"/>
  <c r="M31" i="6"/>
  <c r="B32" i="6"/>
  <c r="C32" i="6"/>
  <c r="D32" i="6"/>
  <c r="E32" i="6"/>
  <c r="F32" i="6"/>
  <c r="G32" i="6"/>
  <c r="H32" i="6"/>
  <c r="I32" i="6"/>
  <c r="J32" i="6"/>
  <c r="B33" i="6"/>
  <c r="C33" i="6"/>
  <c r="D33" i="6"/>
  <c r="E33" i="6"/>
  <c r="F33" i="6"/>
  <c r="G33" i="6"/>
  <c r="H33" i="6"/>
  <c r="I33" i="6"/>
  <c r="J33" i="6"/>
  <c r="B34" i="6"/>
  <c r="C34" i="6"/>
  <c r="D34" i="6"/>
  <c r="E34" i="6"/>
  <c r="F34" i="6"/>
  <c r="G34" i="6"/>
  <c r="H34" i="6"/>
  <c r="I34" i="6"/>
  <c r="J34" i="6"/>
  <c r="B35" i="6"/>
  <c r="C35" i="6"/>
  <c r="D35" i="6"/>
  <c r="E35" i="6"/>
  <c r="F35" i="6"/>
  <c r="G35" i="6"/>
  <c r="H35" i="6"/>
  <c r="I35" i="6"/>
  <c r="J35" i="6"/>
  <c r="B36" i="6"/>
  <c r="C36" i="6"/>
  <c r="D36" i="6"/>
  <c r="E36" i="6"/>
  <c r="F36" i="6"/>
  <c r="G36" i="6"/>
  <c r="H36" i="6"/>
  <c r="I36" i="6"/>
  <c r="J36" i="6"/>
  <c r="B37" i="6"/>
  <c r="C37" i="6"/>
  <c r="D37" i="6"/>
  <c r="E37" i="6"/>
  <c r="F37" i="6"/>
  <c r="G37" i="6"/>
  <c r="H37" i="6"/>
  <c r="I37" i="6"/>
  <c r="J37" i="6"/>
  <c r="B38" i="6"/>
  <c r="C38" i="6"/>
  <c r="D38" i="6"/>
  <c r="E38" i="6"/>
  <c r="F38" i="6"/>
  <c r="G38" i="6"/>
  <c r="H38" i="6"/>
  <c r="I38" i="6"/>
  <c r="J38" i="6"/>
  <c r="C31" i="6"/>
  <c r="D31" i="6"/>
  <c r="E31" i="6"/>
  <c r="F31" i="6"/>
  <c r="G31" i="6"/>
  <c r="H31" i="6"/>
  <c r="I31" i="6"/>
  <c r="J31" i="6"/>
  <c r="B31" i="6"/>
  <c r="M18" i="6"/>
  <c r="N18" i="6"/>
  <c r="O18" i="6"/>
  <c r="P18" i="6"/>
  <c r="Q18" i="6"/>
  <c r="R18" i="6"/>
  <c r="S18" i="6"/>
  <c r="T18" i="6"/>
  <c r="U18" i="6"/>
  <c r="M19" i="6"/>
  <c r="N19" i="6"/>
  <c r="O19" i="6"/>
  <c r="P19" i="6"/>
  <c r="Q19" i="6"/>
  <c r="R19" i="6"/>
  <c r="S19" i="6"/>
  <c r="T19" i="6"/>
  <c r="U19" i="6"/>
  <c r="M20" i="6"/>
  <c r="N20" i="6"/>
  <c r="O20" i="6"/>
  <c r="P20" i="6"/>
  <c r="Q20" i="6"/>
  <c r="R20" i="6"/>
  <c r="S20" i="6"/>
  <c r="T20" i="6"/>
  <c r="U20" i="6"/>
  <c r="M21" i="6"/>
  <c r="N21" i="6"/>
  <c r="O21" i="6"/>
  <c r="P21" i="6"/>
  <c r="Q21" i="6"/>
  <c r="R21" i="6"/>
  <c r="S21" i="6"/>
  <c r="T21" i="6"/>
  <c r="U21" i="6"/>
  <c r="M22" i="6"/>
  <c r="N22" i="6"/>
  <c r="O22" i="6"/>
  <c r="P22" i="6"/>
  <c r="Q22" i="6"/>
  <c r="R22" i="6"/>
  <c r="S22" i="6"/>
  <c r="T22" i="6"/>
  <c r="U22" i="6"/>
  <c r="M23" i="6"/>
  <c r="N23" i="6"/>
  <c r="O23" i="6"/>
  <c r="P23" i="6"/>
  <c r="Q23" i="6"/>
  <c r="R23" i="6"/>
  <c r="S23" i="6"/>
  <c r="T23" i="6"/>
  <c r="U23" i="6"/>
  <c r="M24" i="6"/>
  <c r="N24" i="6"/>
  <c r="O24" i="6"/>
  <c r="P24" i="6"/>
  <c r="Q24" i="6"/>
  <c r="R24" i="6"/>
  <c r="S24" i="6"/>
  <c r="T24" i="6"/>
  <c r="U24" i="6"/>
  <c r="N17" i="6"/>
  <c r="O17" i="6"/>
  <c r="P17" i="6"/>
  <c r="Q17" i="6"/>
  <c r="R17" i="6"/>
  <c r="S17" i="6"/>
  <c r="T17" i="6"/>
  <c r="U17" i="6"/>
  <c r="M17" i="6"/>
  <c r="B18" i="6"/>
  <c r="C18" i="6"/>
  <c r="D18" i="6"/>
  <c r="E18" i="6"/>
  <c r="F18" i="6"/>
  <c r="G18" i="6"/>
  <c r="H18" i="6"/>
  <c r="I18" i="6"/>
  <c r="J18" i="6"/>
  <c r="B19" i="6"/>
  <c r="C19" i="6"/>
  <c r="D19" i="6"/>
  <c r="E19" i="6"/>
  <c r="F19" i="6"/>
  <c r="G19" i="6"/>
  <c r="H19" i="6"/>
  <c r="I19" i="6"/>
  <c r="J19" i="6"/>
  <c r="B20" i="6"/>
  <c r="C20" i="6"/>
  <c r="D20" i="6"/>
  <c r="E20" i="6"/>
  <c r="F20" i="6"/>
  <c r="G20" i="6"/>
  <c r="H20" i="6"/>
  <c r="I20" i="6"/>
  <c r="J20" i="6"/>
  <c r="B21" i="6"/>
  <c r="C21" i="6"/>
  <c r="D21" i="6"/>
  <c r="E21" i="6"/>
  <c r="F21" i="6"/>
  <c r="G21" i="6"/>
  <c r="H21" i="6"/>
  <c r="I21" i="6"/>
  <c r="J21" i="6"/>
  <c r="B22" i="6"/>
  <c r="C22" i="6"/>
  <c r="D22" i="6"/>
  <c r="E22" i="6"/>
  <c r="F22" i="6"/>
  <c r="G22" i="6"/>
  <c r="H22" i="6"/>
  <c r="I22" i="6"/>
  <c r="J22" i="6"/>
  <c r="B23" i="6"/>
  <c r="C23" i="6"/>
  <c r="D23" i="6"/>
  <c r="E23" i="6"/>
  <c r="F23" i="6"/>
  <c r="G23" i="6"/>
  <c r="H23" i="6"/>
  <c r="I23" i="6"/>
  <c r="J23" i="6"/>
  <c r="B24" i="6"/>
  <c r="C24" i="6"/>
  <c r="D24" i="6"/>
  <c r="E24" i="6"/>
  <c r="F24" i="6"/>
  <c r="G24" i="6"/>
  <c r="H24" i="6"/>
  <c r="I24" i="6"/>
  <c r="J24" i="6"/>
  <c r="C17" i="6"/>
  <c r="D17" i="6"/>
  <c r="E17" i="6"/>
  <c r="F17" i="6"/>
  <c r="G17" i="6"/>
  <c r="H17" i="6"/>
  <c r="I17" i="6"/>
  <c r="J17" i="6"/>
  <c r="B17" i="6"/>
  <c r="X4" i="6"/>
  <c r="Y4" i="6"/>
  <c r="Z4" i="6"/>
  <c r="AA4" i="6"/>
  <c r="AB4" i="6"/>
  <c r="AC4" i="6"/>
  <c r="AD4" i="6"/>
  <c r="AE4" i="6"/>
  <c r="AF4" i="6"/>
  <c r="X5" i="6"/>
  <c r="Y5" i="6"/>
  <c r="Z5" i="6"/>
  <c r="AA5" i="6"/>
  <c r="AB5" i="6"/>
  <c r="AC5" i="6"/>
  <c r="AD5" i="6"/>
  <c r="AE5" i="6"/>
  <c r="AF5" i="6"/>
  <c r="X6" i="6"/>
  <c r="Y6" i="6"/>
  <c r="Z6" i="6"/>
  <c r="AA6" i="6"/>
  <c r="AB6" i="6"/>
  <c r="AC6" i="6"/>
  <c r="AD6" i="6"/>
  <c r="AE6" i="6"/>
  <c r="AF6" i="6"/>
  <c r="X7" i="6"/>
  <c r="Y7" i="6"/>
  <c r="Z7" i="6"/>
  <c r="AA7" i="6"/>
  <c r="AB7" i="6"/>
  <c r="AC7" i="6"/>
  <c r="AD7" i="6"/>
  <c r="AE7" i="6"/>
  <c r="AF7" i="6"/>
  <c r="X8" i="6"/>
  <c r="Y8" i="6"/>
  <c r="Z8" i="6"/>
  <c r="AA8" i="6"/>
  <c r="AB8" i="6"/>
  <c r="AC8" i="6"/>
  <c r="AD8" i="6"/>
  <c r="AE8" i="6"/>
  <c r="AF8" i="6"/>
  <c r="X9" i="6"/>
  <c r="Y9" i="6"/>
  <c r="Z9" i="6"/>
  <c r="AA9" i="6"/>
  <c r="AB9" i="6"/>
  <c r="AC9" i="6"/>
  <c r="AD9" i="6"/>
  <c r="AE9" i="6"/>
  <c r="AF9" i="6"/>
  <c r="X10" i="6"/>
  <c r="Y10" i="6"/>
  <c r="Z10" i="6"/>
  <c r="AA10" i="6"/>
  <c r="AB10" i="6"/>
  <c r="AC10" i="6"/>
  <c r="AD10" i="6"/>
  <c r="AE10" i="6"/>
  <c r="AF10" i="6"/>
  <c r="Y3" i="6"/>
  <c r="Z3" i="6"/>
  <c r="AA3" i="6"/>
  <c r="AB3" i="6"/>
  <c r="AD3" i="6"/>
  <c r="AE3" i="6"/>
  <c r="AF3" i="6"/>
  <c r="X3" i="6"/>
  <c r="M4" i="6"/>
  <c r="N4" i="6"/>
  <c r="O4" i="6"/>
  <c r="P4" i="6"/>
  <c r="Q4" i="6"/>
  <c r="R4" i="6"/>
  <c r="S4" i="6"/>
  <c r="T4" i="6"/>
  <c r="U4" i="6"/>
  <c r="M5" i="6"/>
  <c r="N5" i="6"/>
  <c r="O5" i="6"/>
  <c r="P5" i="6"/>
  <c r="Q5" i="6"/>
  <c r="R5" i="6"/>
  <c r="S5" i="6"/>
  <c r="T5" i="6"/>
  <c r="U5" i="6"/>
  <c r="M6" i="6"/>
  <c r="N6" i="6"/>
  <c r="O6" i="6"/>
  <c r="P6" i="6"/>
  <c r="Q6" i="6"/>
  <c r="R6" i="6"/>
  <c r="S6" i="6"/>
  <c r="T6" i="6"/>
  <c r="U6" i="6"/>
  <c r="M7" i="6"/>
  <c r="N7" i="6"/>
  <c r="O7" i="6"/>
  <c r="P7" i="6"/>
  <c r="Q7" i="6"/>
  <c r="R7" i="6"/>
  <c r="S7" i="6"/>
  <c r="T7" i="6"/>
  <c r="U7" i="6"/>
  <c r="M8" i="6"/>
  <c r="N8" i="6"/>
  <c r="O8" i="6"/>
  <c r="P8" i="6"/>
  <c r="Q8" i="6"/>
  <c r="R8" i="6"/>
  <c r="S8" i="6"/>
  <c r="T8" i="6"/>
  <c r="U8" i="6"/>
  <c r="M9" i="6"/>
  <c r="N9" i="6"/>
  <c r="O9" i="6"/>
  <c r="P9" i="6"/>
  <c r="Q9" i="6"/>
  <c r="R9" i="6"/>
  <c r="S9" i="6"/>
  <c r="T9" i="6"/>
  <c r="U9" i="6"/>
  <c r="M10" i="6"/>
  <c r="N10" i="6"/>
  <c r="O10" i="6"/>
  <c r="P10" i="6"/>
  <c r="Q10" i="6"/>
  <c r="R10" i="6"/>
  <c r="S10" i="6"/>
  <c r="T10" i="6"/>
  <c r="U10" i="6"/>
  <c r="N3" i="6"/>
  <c r="O3" i="6"/>
  <c r="P3" i="6"/>
  <c r="Q3" i="6"/>
  <c r="R3" i="6"/>
  <c r="S3" i="6"/>
  <c r="T3" i="6"/>
  <c r="U3" i="6"/>
  <c r="M3" i="6"/>
  <c r="B4" i="6"/>
  <c r="C4" i="6"/>
  <c r="D4" i="6"/>
  <c r="E4" i="6"/>
  <c r="F4" i="6"/>
  <c r="G4" i="6"/>
  <c r="H4" i="6"/>
  <c r="I4" i="6"/>
  <c r="J4" i="6"/>
  <c r="B5" i="6"/>
  <c r="C5" i="6"/>
  <c r="D5" i="6"/>
  <c r="E5" i="6"/>
  <c r="F5" i="6"/>
  <c r="G5" i="6"/>
  <c r="H5" i="6"/>
  <c r="I5" i="6"/>
  <c r="J5" i="6"/>
  <c r="B6" i="6"/>
  <c r="C6" i="6"/>
  <c r="D6" i="6"/>
  <c r="E6" i="6"/>
  <c r="F6" i="6"/>
  <c r="G6" i="6"/>
  <c r="H6" i="6"/>
  <c r="I6" i="6"/>
  <c r="J6" i="6"/>
  <c r="B7" i="6"/>
  <c r="C7" i="6"/>
  <c r="D7" i="6"/>
  <c r="E7" i="6"/>
  <c r="F7" i="6"/>
  <c r="G7" i="6"/>
  <c r="H7" i="6"/>
  <c r="I7" i="6"/>
  <c r="J7" i="6"/>
  <c r="B8" i="6"/>
  <c r="C8" i="6"/>
  <c r="D8" i="6"/>
  <c r="E8" i="6"/>
  <c r="F8" i="6"/>
  <c r="G8" i="6"/>
  <c r="H8" i="6"/>
  <c r="I8" i="6"/>
  <c r="J8" i="6"/>
  <c r="B9" i="6"/>
  <c r="C9" i="6"/>
  <c r="D9" i="6"/>
  <c r="E9" i="6"/>
  <c r="F9" i="6"/>
  <c r="G9" i="6"/>
  <c r="H9" i="6"/>
  <c r="I9" i="6"/>
  <c r="J9" i="6"/>
  <c r="B10" i="6"/>
  <c r="C10" i="6"/>
  <c r="D10" i="6"/>
  <c r="E10" i="6"/>
  <c r="F10" i="6"/>
  <c r="G10" i="6"/>
  <c r="H10" i="6"/>
  <c r="I10" i="6"/>
  <c r="J10" i="6"/>
  <c r="C3" i="6"/>
  <c r="D3" i="6"/>
  <c r="E3" i="6"/>
  <c r="F3" i="6"/>
  <c r="G3" i="6"/>
  <c r="H3" i="6"/>
  <c r="I3" i="6"/>
  <c r="J3" i="6"/>
  <c r="B3" i="6"/>
  <c r="D36" i="1" l="1"/>
  <c r="K70" i="1"/>
  <c r="K40" i="1" s="1"/>
  <c r="G70" i="1"/>
  <c r="G40" i="1" s="1"/>
  <c r="F68" i="1"/>
  <c r="F38" i="1" s="1"/>
  <c r="J68" i="1"/>
  <c r="J38" i="1" s="1"/>
  <c r="M69" i="1"/>
  <c r="M39" i="1" s="1"/>
  <c r="M71" i="1"/>
  <c r="M41" i="1" s="1"/>
  <c r="I69" i="1"/>
  <c r="I39" i="1" s="1"/>
  <c r="D68" i="1"/>
  <c r="D38" i="1" s="1"/>
  <c r="I71" i="1"/>
  <c r="I41" i="1" s="1"/>
  <c r="E69" i="1"/>
  <c r="E39" i="1" s="1"/>
  <c r="E71" i="1"/>
  <c r="E41" i="1" s="1"/>
  <c r="F69" i="1"/>
  <c r="F39" i="1" s="1"/>
  <c r="L68" i="1"/>
  <c r="L38" i="1" s="1"/>
  <c r="G71" i="1"/>
  <c r="G41" i="1" s="1"/>
  <c r="I70" i="1"/>
  <c r="I40" i="1" s="1"/>
  <c r="K69" i="1"/>
  <c r="K39" i="1" s="1"/>
  <c r="G69" i="1"/>
  <c r="G39" i="1" s="1"/>
  <c r="H68" i="1"/>
  <c r="H38" i="1" s="1"/>
  <c r="K71" i="1"/>
  <c r="M70" i="1"/>
  <c r="M40" i="1" s="1"/>
  <c r="E70" i="1"/>
  <c r="E40" i="1" s="1"/>
  <c r="BR4" i="1"/>
  <c r="BS4" i="1"/>
  <c r="BT4" i="1"/>
  <c r="BU4" i="1"/>
  <c r="BV4" i="1"/>
  <c r="BW4" i="1"/>
  <c r="BX4" i="1"/>
  <c r="BY4" i="1"/>
  <c r="BZ4" i="1"/>
  <c r="CA4" i="1"/>
  <c r="CB4" i="1"/>
  <c r="CC4" i="1"/>
  <c r="BR5" i="1"/>
  <c r="BS5" i="1"/>
  <c r="BT5" i="1"/>
  <c r="BU5" i="1"/>
  <c r="BV5" i="1"/>
  <c r="BW5" i="1"/>
  <c r="BX5" i="1"/>
  <c r="BY5" i="1"/>
  <c r="BZ5" i="1"/>
  <c r="CA5" i="1"/>
  <c r="CB5" i="1"/>
  <c r="CC5" i="1"/>
  <c r="BR6" i="1"/>
  <c r="BS6" i="1"/>
  <c r="BT6" i="1"/>
  <c r="BU6" i="1"/>
  <c r="BV6" i="1"/>
  <c r="BW6" i="1"/>
  <c r="BX6" i="1"/>
  <c r="BY6" i="1"/>
  <c r="BZ6" i="1"/>
  <c r="CA6" i="1"/>
  <c r="CB6" i="1"/>
  <c r="CC6" i="1"/>
  <c r="BR7" i="1"/>
  <c r="BS7" i="1"/>
  <c r="BT7" i="1"/>
  <c r="BU7" i="1"/>
  <c r="BV7" i="1"/>
  <c r="BW7" i="1"/>
  <c r="BX7" i="1"/>
  <c r="BY7" i="1"/>
  <c r="BZ7" i="1"/>
  <c r="CA7" i="1"/>
  <c r="CB7" i="1"/>
  <c r="CC7" i="1"/>
  <c r="BR8" i="1"/>
  <c r="BS8" i="1"/>
  <c r="BT8" i="1"/>
  <c r="BU8" i="1"/>
  <c r="BV8" i="1"/>
  <c r="BW8" i="1"/>
  <c r="BX8" i="1"/>
  <c r="BY8" i="1"/>
  <c r="BZ8" i="1"/>
  <c r="CA8" i="1"/>
  <c r="CB8" i="1"/>
  <c r="CC8" i="1"/>
  <c r="BR9" i="1"/>
  <c r="BS9" i="1"/>
  <c r="BT9" i="1"/>
  <c r="BU9" i="1"/>
  <c r="BV9" i="1"/>
  <c r="BW9" i="1"/>
  <c r="BX9" i="1"/>
  <c r="BY9" i="1"/>
  <c r="BZ9" i="1"/>
  <c r="CA9" i="1"/>
  <c r="CB9" i="1"/>
  <c r="CC9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BS3" i="1"/>
  <c r="BT3" i="1"/>
  <c r="BU3" i="1"/>
  <c r="BV3" i="1"/>
  <c r="BW3" i="1"/>
  <c r="BX3" i="1"/>
  <c r="BY3" i="1"/>
  <c r="BZ3" i="1"/>
  <c r="CA3" i="1"/>
  <c r="CB3" i="1"/>
  <c r="CC3" i="1"/>
  <c r="BR3" i="1"/>
  <c r="DF3" i="1" s="1"/>
  <c r="J69" i="1" l="1"/>
  <c r="J39" i="1" s="1"/>
  <c r="E38" i="1"/>
  <c r="L70" i="1"/>
  <c r="L40" i="1" s="1"/>
  <c r="H69" i="1"/>
  <c r="H39" i="1" s="1"/>
  <c r="H70" i="1"/>
  <c r="H40" i="1" s="1"/>
  <c r="L69" i="1"/>
  <c r="L39" i="1" s="1"/>
  <c r="J71" i="1"/>
  <c r="J41" i="1" s="1"/>
  <c r="F70" i="1"/>
  <c r="F40" i="1" s="1"/>
  <c r="F71" i="1"/>
  <c r="F41" i="1" s="1"/>
  <c r="J70" i="1"/>
  <c r="J40" i="1" s="1"/>
  <c r="H71" i="1"/>
  <c r="H41" i="1" s="1"/>
  <c r="G68" i="1"/>
  <c r="G38" i="1" s="1"/>
  <c r="K68" i="1"/>
  <c r="K38" i="1" s="1"/>
  <c r="I68" i="1"/>
  <c r="I38" i="1" s="1"/>
  <c r="L71" i="1"/>
  <c r="L41" i="1" s="1"/>
  <c r="M68" i="1"/>
  <c r="M38" i="1" s="1"/>
  <c r="K41" i="1"/>
  <c r="S4" i="1"/>
  <c r="Q4" i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P4" i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CD3" i="1" l="1"/>
  <c r="CE3" i="1"/>
  <c r="CF3" i="1"/>
  <c r="CG3" i="1"/>
  <c r="P73" i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Q73" i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AW3" i="1"/>
  <c r="AV3" i="1"/>
  <c r="AL3" i="1"/>
  <c r="AM3" i="1"/>
  <c r="AN3" i="1"/>
  <c r="AO3" i="1"/>
  <c r="AP3" i="1"/>
  <c r="AQ3" i="1"/>
  <c r="AR3" i="1"/>
  <c r="AS3" i="1"/>
  <c r="AK3" i="1"/>
  <c r="AU3" i="1"/>
  <c r="AJ3" i="1"/>
  <c r="AI3" i="1"/>
  <c r="AH5" i="1"/>
  <c r="AH4" i="1"/>
  <c r="AH3" i="1"/>
  <c r="U4" i="1" l="1"/>
  <c r="W4" i="1"/>
  <c r="DU3" i="1"/>
  <c r="AB4" i="1"/>
  <c r="T4" i="1"/>
  <c r="DN3" i="1"/>
  <c r="AF4" i="1"/>
  <c r="DQ3" i="1"/>
  <c r="V4" i="1"/>
  <c r="DP3" i="1"/>
  <c r="AT3" i="1"/>
  <c r="BL3" i="1" s="1"/>
  <c r="BM3" i="1" l="1"/>
  <c r="BK3" i="1"/>
  <c r="BJ3" i="1"/>
  <c r="AL4" i="1"/>
  <c r="AG4" i="1"/>
  <c r="DT3" i="1"/>
  <c r="X4" i="1"/>
  <c r="DK3" i="1"/>
  <c r="DM3" i="1"/>
  <c r="Z4" i="1"/>
  <c r="DL3" i="1"/>
  <c r="Y4" i="1"/>
  <c r="AA4" i="1"/>
  <c r="DO3" i="1"/>
  <c r="AM4" i="1"/>
  <c r="AE4" i="1"/>
  <c r="AV4" i="1"/>
  <c r="DH3" i="1"/>
  <c r="DI3" i="1"/>
  <c r="DS3" i="1"/>
  <c r="DR3" i="1"/>
  <c r="AC4" i="1" s="1"/>
  <c r="DG3" i="1"/>
  <c r="AN4" i="1" l="1"/>
  <c r="CG4" i="1"/>
  <c r="CF4" i="1"/>
  <c r="CE4" i="1"/>
  <c r="CD4" i="1"/>
  <c r="AR4" i="1"/>
  <c r="AQ4" i="1"/>
  <c r="AS4" i="1"/>
  <c r="AP4" i="1"/>
  <c r="AO4" i="1"/>
  <c r="AW4" i="1"/>
  <c r="AU4" i="1" l="1"/>
  <c r="AK4" i="1" l="1"/>
  <c r="AJ4" i="1" l="1"/>
  <c r="AI4" i="1"/>
  <c r="DT4" i="1" l="1"/>
  <c r="DU4" i="1"/>
  <c r="S5" i="1"/>
  <c r="T5" i="1"/>
  <c r="U5" i="1"/>
  <c r="DP4" i="1"/>
  <c r="V5" i="1"/>
  <c r="DQ4" i="1"/>
  <c r="AF5" i="1" l="1"/>
  <c r="AV5" i="1" s="1"/>
  <c r="DS4" i="1"/>
  <c r="W5" i="1"/>
  <c r="DJ4" i="1"/>
  <c r="AB5" i="1"/>
  <c r="DO4" i="1"/>
  <c r="Y5" i="1"/>
  <c r="DL4" i="1"/>
  <c r="AA5" i="1"/>
  <c r="DN4" i="1"/>
  <c r="X5" i="1"/>
  <c r="DK4" i="1"/>
  <c r="Z5" i="1"/>
  <c r="DM4" i="1"/>
  <c r="AG5" i="1"/>
  <c r="AL5" i="1"/>
  <c r="DI4" i="1"/>
  <c r="DG4" i="1"/>
  <c r="DH4" i="1"/>
  <c r="DF4" i="1"/>
  <c r="AM5" i="1" l="1"/>
  <c r="AW5" i="1"/>
  <c r="AN5" i="1"/>
  <c r="AQ5" i="1"/>
  <c r="AP5" i="1"/>
  <c r="AR5" i="1"/>
  <c r="AO5" i="1" l="1"/>
  <c r="AK5" i="1"/>
  <c r="AJ5" i="1" l="1"/>
  <c r="AI5" i="1"/>
  <c r="W6" i="1" l="1"/>
  <c r="X6" i="1"/>
  <c r="Y6" i="1"/>
  <c r="Z6" i="1"/>
  <c r="S6" i="1"/>
  <c r="AA6" i="1"/>
  <c r="T6" i="1"/>
  <c r="AB6" i="1"/>
  <c r="U6" i="1"/>
  <c r="V6" i="1"/>
  <c r="DP5" i="1"/>
  <c r="DO5" i="1" l="1"/>
  <c r="DN5" i="1"/>
  <c r="DM5" i="1"/>
  <c r="DL5" i="1"/>
  <c r="DK5" i="1"/>
  <c r="DJ5" i="1"/>
  <c r="AM6" i="1"/>
  <c r="DI5" i="1"/>
  <c r="AL6" i="1"/>
  <c r="DG5" i="1"/>
  <c r="DH5" i="1"/>
  <c r="DF5" i="1"/>
  <c r="AR6" i="1" l="1"/>
  <c r="AQ6" i="1"/>
  <c r="AP6" i="1"/>
  <c r="AN6" i="1"/>
  <c r="AO6" i="1" l="1"/>
  <c r="AK6" i="1"/>
  <c r="AJ6" i="1" l="1"/>
  <c r="AI6" i="1"/>
  <c r="AA7" i="1" l="1"/>
  <c r="T7" i="1"/>
  <c r="AB7" i="1"/>
  <c r="U7" i="1"/>
  <c r="DP6" i="1"/>
  <c r="V7" i="1"/>
  <c r="W7" i="1"/>
  <c r="X7" i="1"/>
  <c r="Y7" i="1"/>
  <c r="Z7" i="1"/>
  <c r="DO6" i="1" l="1"/>
  <c r="DN6" i="1"/>
  <c r="DM6" i="1"/>
  <c r="DL6" i="1"/>
  <c r="DK6" i="1"/>
  <c r="AN7" i="1"/>
  <c r="DJ6" i="1"/>
  <c r="AM7" i="1"/>
  <c r="DI6" i="1"/>
  <c r="AL7" i="1"/>
  <c r="DG6" i="1"/>
  <c r="DH6" i="1"/>
  <c r="AQ7" i="1" s="1"/>
  <c r="AR7" i="1" l="1"/>
  <c r="AP7" i="1"/>
  <c r="AO7" i="1"/>
  <c r="AK7" i="1" l="1"/>
  <c r="AJ7" i="1" l="1"/>
  <c r="W8" i="1" l="1"/>
  <c r="X8" i="1"/>
  <c r="Y8" i="1"/>
  <c r="Z8" i="1"/>
  <c r="AA8" i="1"/>
  <c r="AB8" i="1"/>
  <c r="U8" i="1"/>
  <c r="V8" i="1"/>
  <c r="DP7" i="1"/>
  <c r="DO7" i="1" l="1"/>
  <c r="DM7" i="1"/>
  <c r="DL7" i="1"/>
  <c r="DK7" i="1"/>
  <c r="AN8" i="1"/>
  <c r="DN7" i="1"/>
  <c r="DJ7" i="1"/>
  <c r="AM8" i="1"/>
  <c r="DI7" i="1"/>
  <c r="AR8" i="1" s="1"/>
  <c r="AL8" i="1"/>
  <c r="DH7" i="1"/>
  <c r="AQ8" i="1" s="1"/>
  <c r="AP8" i="1" l="1"/>
  <c r="AO8" i="1"/>
  <c r="AK8" i="1" l="1"/>
  <c r="W9" i="1" l="1"/>
  <c r="AA9" i="1"/>
  <c r="X9" i="1"/>
  <c r="Y9" i="1"/>
  <c r="Z9" i="1"/>
  <c r="AB9" i="1"/>
  <c r="V9" i="1"/>
  <c r="DP8" i="1"/>
  <c r="DO8" i="1" l="1"/>
  <c r="DN8" i="1"/>
  <c r="DL8" i="1"/>
  <c r="DM8" i="1"/>
  <c r="DK8" i="1"/>
  <c r="AN9" i="1"/>
  <c r="DJ8" i="1"/>
  <c r="AM9" i="1"/>
  <c r="DI8" i="1"/>
  <c r="AR9" i="1" s="1"/>
  <c r="AL9" i="1"/>
  <c r="AP9" i="1" l="1"/>
  <c r="AQ9" i="1"/>
  <c r="AO9" i="1"/>
  <c r="W10" i="1" l="1"/>
  <c r="DP9" i="1"/>
  <c r="AB10" i="1"/>
  <c r="X10" i="1"/>
  <c r="Y10" i="1"/>
  <c r="Z10" i="1"/>
  <c r="AA10" i="1"/>
  <c r="DO9" i="1" l="1"/>
  <c r="DN9" i="1"/>
  <c r="DL9" i="1"/>
  <c r="DM9" i="1"/>
  <c r="DK9" i="1"/>
  <c r="AN10" i="1"/>
  <c r="DJ9" i="1"/>
  <c r="AM10" i="1" l="1"/>
  <c r="AP10" i="1"/>
  <c r="AO10" i="1"/>
  <c r="AA11" i="1" l="1"/>
  <c r="X11" i="1"/>
  <c r="Y11" i="1"/>
  <c r="Z11" i="1"/>
  <c r="AB11" i="1"/>
  <c r="DP10" i="1"/>
  <c r="DO10" i="1" l="1"/>
  <c r="DM10" i="1"/>
  <c r="DK10" i="1"/>
  <c r="AN11" i="1"/>
  <c r="DN10" i="1"/>
  <c r="DL10" i="1"/>
  <c r="AQ11" i="1" l="1"/>
  <c r="AP11" i="1"/>
  <c r="AO11" i="1"/>
  <c r="DP11" i="1" l="1"/>
  <c r="AA12" i="1"/>
  <c r="AB12" i="1"/>
  <c r="Y12" i="1"/>
  <c r="Z12" i="1"/>
  <c r="DO11" i="1" l="1"/>
  <c r="DM11" i="1"/>
  <c r="DL11" i="1"/>
  <c r="DN11" i="1"/>
  <c r="AR12" i="1" l="1"/>
  <c r="AQ12" i="1"/>
  <c r="AP12" i="1"/>
  <c r="AO12" i="1"/>
  <c r="AA13" i="1" l="1"/>
  <c r="DP12" i="1"/>
  <c r="AB13" i="1"/>
  <c r="Z13" i="1"/>
  <c r="DO12" i="1" l="1"/>
  <c r="DN12" i="1"/>
  <c r="DM12" i="1"/>
  <c r="AQ13" i="1" l="1"/>
  <c r="AP13" i="1"/>
  <c r="DP13" i="1" l="1"/>
  <c r="AB14" i="1"/>
  <c r="AA14" i="1"/>
  <c r="DO13" i="1" l="1"/>
  <c r="DN13" i="1"/>
  <c r="AQ14" i="1" l="1"/>
  <c r="AB15" i="1" l="1"/>
  <c r="DP14" i="1"/>
  <c r="DO14" i="1" l="1"/>
  <c r="AR15" i="1" l="1"/>
  <c r="DP15" i="1" l="1"/>
  <c r="AR14" i="1" l="1"/>
  <c r="AR13" i="1"/>
  <c r="AR11" i="1"/>
  <c r="AQ10" i="1"/>
  <c r="AR10" i="1"/>
  <c r="BO3" i="1"/>
  <c r="EH3" i="1"/>
  <c r="EI3" i="1"/>
  <c r="CI3" i="1"/>
  <c r="EJ3" i="1"/>
  <c r="CJ3" i="1"/>
  <c r="EK3" i="1"/>
  <c r="CK3" i="1"/>
  <c r="CW3" i="1" s="1"/>
  <c r="BB4" i="1" s="1"/>
  <c r="CP3" i="1"/>
  <c r="CO3" i="1"/>
  <c r="DA3" i="1" s="1"/>
  <c r="BF4" i="1" s="1"/>
  <c r="CN3" i="1"/>
  <c r="CM3" i="1"/>
  <c r="CL3" i="1"/>
  <c r="CS3" i="1"/>
  <c r="CR3" i="1"/>
  <c r="BQ3" i="1"/>
  <c r="CH3" i="1"/>
  <c r="CQ3" i="1"/>
  <c r="DC3" i="1" s="1"/>
  <c r="BH4" i="1" s="1"/>
  <c r="EM3" i="1" l="1"/>
  <c r="EO3" i="1" s="1"/>
  <c r="EQ3" i="1" s="1"/>
  <c r="ES3" i="1" s="1"/>
  <c r="DD3" i="1"/>
  <c r="BI4" i="1" s="1"/>
  <c r="DE3" i="1"/>
  <c r="CT3" i="1"/>
  <c r="AY4" i="1" s="1"/>
  <c r="AD4" i="1"/>
  <c r="CX3" i="1"/>
  <c r="BC4" i="1" s="1"/>
  <c r="CY3" i="1"/>
  <c r="BD4" i="1" s="1"/>
  <c r="CZ3" i="1"/>
  <c r="BE4" i="1" s="1"/>
  <c r="DB3" i="1"/>
  <c r="BG4" i="1" s="1"/>
  <c r="CV3" i="1"/>
  <c r="BA4" i="1" s="1"/>
  <c r="CU3" i="1"/>
  <c r="AZ4" i="1" s="1"/>
  <c r="AE5" i="1" l="1"/>
  <c r="AT4" i="1"/>
  <c r="DR4" i="1"/>
  <c r="DV3" i="1" l="1"/>
  <c r="DX3" i="1"/>
  <c r="DY3" i="1"/>
  <c r="DW3" i="1"/>
  <c r="BM4" i="1"/>
  <c r="EK4" i="1" s="1"/>
  <c r="BK4" i="1"/>
  <c r="EI4" i="1" s="1"/>
  <c r="BJ4" i="1"/>
  <c r="EH4" i="1" s="1"/>
  <c r="BL4" i="1"/>
  <c r="EJ4" i="1" s="1"/>
  <c r="AU5" i="1"/>
  <c r="AC5" i="1"/>
  <c r="DZ3" i="1" l="1"/>
  <c r="BO4" i="1"/>
  <c r="BQ4" i="1"/>
  <c r="CM4" i="1"/>
  <c r="CH4" i="1"/>
  <c r="CP4" i="1"/>
  <c r="CK4" i="1"/>
  <c r="CR4" i="1"/>
  <c r="CJ4" i="1"/>
  <c r="CN4" i="1"/>
  <c r="CI4" i="1"/>
  <c r="CS4" i="1"/>
  <c r="CQ4" i="1"/>
  <c r="CL4" i="1"/>
  <c r="CO4" i="1"/>
  <c r="CE5" i="1"/>
  <c r="AS5" i="1"/>
  <c r="CF5" i="1"/>
  <c r="CG5" i="1"/>
  <c r="DU5" i="1" s="1"/>
  <c r="DQ5" i="1"/>
  <c r="CD5" i="1"/>
  <c r="EM4" i="1"/>
  <c r="EA3" i="1" l="1"/>
  <c r="DA4" i="1"/>
  <c r="BF5" i="1" s="1"/>
  <c r="CW4" i="1"/>
  <c r="BB5" i="1" s="1"/>
  <c r="CX4" i="1"/>
  <c r="BC5" i="1" s="1"/>
  <c r="DB4" i="1"/>
  <c r="BG5" i="1" s="1"/>
  <c r="DC4" i="1"/>
  <c r="BH5" i="1" s="1"/>
  <c r="CT4" i="1"/>
  <c r="AX4" i="1" s="1"/>
  <c r="AY5" i="1" s="1"/>
  <c r="DS5" i="1"/>
  <c r="AF6" i="1"/>
  <c r="DE4" i="1"/>
  <c r="CY4" i="1"/>
  <c r="BD5" i="1" s="1"/>
  <c r="DD4" i="1"/>
  <c r="BI5" i="1" s="1"/>
  <c r="EO4" i="1"/>
  <c r="EQ4" i="1" s="1"/>
  <c r="ES4" i="1" s="1"/>
  <c r="CU4" i="1"/>
  <c r="AZ5" i="1" s="1"/>
  <c r="AD5" i="1"/>
  <c r="DR5" i="1" s="1"/>
  <c r="CZ4" i="1"/>
  <c r="BE5" i="1" s="1"/>
  <c r="AG6" i="1"/>
  <c r="AW6" i="1" s="1"/>
  <c r="DT5" i="1"/>
  <c r="CV4" i="1"/>
  <c r="BA5" i="1" s="1"/>
  <c r="EG4" i="1" l="1"/>
  <c r="EB3" i="1"/>
  <c r="DW4" i="1"/>
  <c r="AE6" i="1"/>
  <c r="AT5" i="1"/>
  <c r="AV6" i="1"/>
  <c r="DV4" i="1"/>
  <c r="AC6" i="1"/>
  <c r="DY4" i="1" l="1"/>
  <c r="BP4" i="1"/>
  <c r="R7" i="1" s="1"/>
  <c r="EB4" i="1"/>
  <c r="DZ4" i="1"/>
  <c r="EA4" i="1"/>
  <c r="BN4" i="1"/>
  <c r="EC3" i="1"/>
  <c r="ED4" i="1"/>
  <c r="EF4" i="1"/>
  <c r="EE4" i="1"/>
  <c r="EC4" i="1"/>
  <c r="DX4" i="1"/>
  <c r="BM5" i="1"/>
  <c r="EK5" i="1" s="1"/>
  <c r="BL5" i="1"/>
  <c r="EJ5" i="1" s="1"/>
  <c r="B16" i="1"/>
  <c r="BJ5" i="1"/>
  <c r="BK5" i="1"/>
  <c r="EI5" i="1" s="1"/>
  <c r="AS6" i="1"/>
  <c r="DQ6" i="1"/>
  <c r="AU6" i="1"/>
  <c r="ED3" i="1" l="1"/>
  <c r="EL4" i="1"/>
  <c r="EN4" i="1" s="1"/>
  <c r="EP4" i="1" s="1"/>
  <c r="ER4" i="1" s="1"/>
  <c r="BO5" i="1"/>
  <c r="BQ5" i="1"/>
  <c r="CS5" i="1"/>
  <c r="CH5" i="1"/>
  <c r="CL5" i="1"/>
  <c r="CJ5" i="1"/>
  <c r="CR5" i="1"/>
  <c r="CQ5" i="1"/>
  <c r="CI5" i="1"/>
  <c r="CN5" i="1"/>
  <c r="CP5" i="1"/>
  <c r="CO5" i="1"/>
  <c r="CK5" i="1"/>
  <c r="EH5" i="1"/>
  <c r="EM5" i="1" s="1"/>
  <c r="CM5" i="1"/>
  <c r="AH7" i="1"/>
  <c r="DF7" i="1"/>
  <c r="S8" i="1"/>
  <c r="EE3" i="1" l="1"/>
  <c r="EO5" i="1"/>
  <c r="EQ5" i="1" s="1"/>
  <c r="ES5" i="1" s="1"/>
  <c r="CV5" i="1"/>
  <c r="BA6" i="1" s="1"/>
  <c r="CW5" i="1"/>
  <c r="BB6" i="1" s="1"/>
  <c r="CX5" i="1"/>
  <c r="BC6" i="1" s="1"/>
  <c r="DD5" i="1"/>
  <c r="BI6" i="1" s="1"/>
  <c r="DA5" i="1"/>
  <c r="BF6" i="1" s="1"/>
  <c r="CT5" i="1"/>
  <c r="AX5" i="1" s="1"/>
  <c r="AY6" i="1" s="1"/>
  <c r="DB5" i="1"/>
  <c r="BG6" i="1" s="1"/>
  <c r="DE5" i="1"/>
  <c r="CY5" i="1"/>
  <c r="BD6" i="1" s="1"/>
  <c r="CZ5" i="1"/>
  <c r="BE6" i="1" s="1"/>
  <c r="AD6" i="1"/>
  <c r="CU5" i="1"/>
  <c r="AZ6" i="1" s="1"/>
  <c r="DG8" i="1"/>
  <c r="AI8" i="1"/>
  <c r="T9" i="1"/>
  <c r="DC5" i="1"/>
  <c r="BH6" i="1" s="1"/>
  <c r="DW5" i="1" l="1"/>
  <c r="EF3" i="1"/>
  <c r="AT6" i="1"/>
  <c r="DH9" i="1"/>
  <c r="AJ9" i="1"/>
  <c r="U10" i="1"/>
  <c r="DV5" i="1"/>
  <c r="EG3" i="1" l="1"/>
  <c r="EL3" i="1" s="1"/>
  <c r="EN3" i="1" s="1"/>
  <c r="EP3" i="1" s="1"/>
  <c r="ER3" i="1" s="1"/>
  <c r="BN3" i="1"/>
  <c r="BP3" i="1"/>
  <c r="R6" i="1" s="1"/>
  <c r="DI10" i="1"/>
  <c r="AK10" i="1"/>
  <c r="V11" i="1"/>
  <c r="DX5" i="1" l="1"/>
  <c r="S7" i="1"/>
  <c r="AH6" i="1"/>
  <c r="DF6" i="1"/>
  <c r="CF6" i="1"/>
  <c r="CE6" i="1"/>
  <c r="CG6" i="1"/>
  <c r="DU6" i="1" s="1"/>
  <c r="CD6" i="1"/>
  <c r="DJ11" i="1"/>
  <c r="AL11" i="1"/>
  <c r="W12" i="1"/>
  <c r="DY5" i="1" l="1"/>
  <c r="DG7" i="1"/>
  <c r="AI7" i="1"/>
  <c r="T8" i="1"/>
  <c r="DS6" i="1"/>
  <c r="AF7" i="1"/>
  <c r="AV7" i="1" s="1"/>
  <c r="AG7" i="1"/>
  <c r="AW7" i="1" s="1"/>
  <c r="DT6" i="1"/>
  <c r="AE7" i="1"/>
  <c r="AU7" i="1" s="1"/>
  <c r="DR6" i="1"/>
  <c r="BM6" i="1"/>
  <c r="EK6" i="1" s="1"/>
  <c r="BK6" i="1"/>
  <c r="BL6" i="1"/>
  <c r="BJ6" i="1"/>
  <c r="DK12" i="1"/>
  <c r="AM12" i="1"/>
  <c r="X13" i="1"/>
  <c r="CR6" i="1" l="1"/>
  <c r="DD6" i="1" s="1"/>
  <c r="BI7" i="1" s="1"/>
  <c r="DZ5" i="1"/>
  <c r="EI6" i="1"/>
  <c r="EJ6" i="1"/>
  <c r="CN6" i="1"/>
  <c r="CZ6" i="1" s="1"/>
  <c r="BE7" i="1" s="1"/>
  <c r="CO6" i="1"/>
  <c r="DA6" i="1" s="1"/>
  <c r="BF7" i="1" s="1"/>
  <c r="CS6" i="1"/>
  <c r="DE6" i="1" s="1"/>
  <c r="AC7" i="1"/>
  <c r="EH6" i="1"/>
  <c r="CH6" i="1"/>
  <c r="CT6" i="1" s="1"/>
  <c r="CI6" i="1"/>
  <c r="CU6" i="1" s="1"/>
  <c r="AZ7" i="1" s="1"/>
  <c r="U9" i="1"/>
  <c r="AJ8" i="1"/>
  <c r="DH8" i="1"/>
  <c r="CL6" i="1"/>
  <c r="CX6" i="1" s="1"/>
  <c r="BC7" i="1" s="1"/>
  <c r="CJ6" i="1"/>
  <c r="CV6" i="1" s="1"/>
  <c r="BA7" i="1" s="1"/>
  <c r="BO6" i="1"/>
  <c r="BQ6" i="1"/>
  <c r="AD7" i="1" s="1"/>
  <c r="CP6" i="1"/>
  <c r="DB6" i="1" s="1"/>
  <c r="BG7" i="1" s="1"/>
  <c r="CQ6" i="1"/>
  <c r="DC6" i="1" s="1"/>
  <c r="BH7" i="1" s="1"/>
  <c r="CM6" i="1"/>
  <c r="CY6" i="1" s="1"/>
  <c r="BD7" i="1" s="1"/>
  <c r="CK6" i="1"/>
  <c r="CW6" i="1" s="1"/>
  <c r="BB7" i="1" s="1"/>
  <c r="DL13" i="1"/>
  <c r="AN13" i="1"/>
  <c r="Y14" i="1"/>
  <c r="AX6" i="1" l="1"/>
  <c r="AY7" i="1" s="1"/>
  <c r="EA5" i="1"/>
  <c r="EM6" i="1"/>
  <c r="EO6" i="1" s="1"/>
  <c r="EQ6" i="1" s="1"/>
  <c r="ES6" i="1" s="1"/>
  <c r="AT7" i="1"/>
  <c r="AS7" i="1"/>
  <c r="DQ7" i="1"/>
  <c r="CD7" i="1"/>
  <c r="DR7" i="1" s="1"/>
  <c r="AC8" i="1" s="1"/>
  <c r="AS8" i="1" s="1"/>
  <c r="CF7" i="1"/>
  <c r="CG7" i="1"/>
  <c r="DU7" i="1" s="1"/>
  <c r="CE7" i="1"/>
  <c r="AK9" i="1"/>
  <c r="DI9" i="1"/>
  <c r="V10" i="1"/>
  <c r="DM14" i="1"/>
  <c r="AO14" i="1"/>
  <c r="Z15" i="1"/>
  <c r="DV6" i="1" l="1"/>
  <c r="EB5" i="1"/>
  <c r="DW6" i="1"/>
  <c r="DQ8" i="1"/>
  <c r="DJ10" i="1"/>
  <c r="AL10" i="1"/>
  <c r="W11" i="1"/>
  <c r="DT7" i="1"/>
  <c r="AG8" i="1"/>
  <c r="AW8" i="1" s="1"/>
  <c r="AF8" i="1"/>
  <c r="AV8" i="1" s="1"/>
  <c r="DS7" i="1"/>
  <c r="AE8" i="1"/>
  <c r="AU8" i="1" s="1"/>
  <c r="BM7" i="1"/>
  <c r="EK7" i="1" s="1"/>
  <c r="BL7" i="1"/>
  <c r="BJ7" i="1"/>
  <c r="BK7" i="1"/>
  <c r="AP15" i="1"/>
  <c r="DN15" i="1"/>
  <c r="AA16" i="1"/>
  <c r="EC5" i="1" l="1"/>
  <c r="CN7" i="1"/>
  <c r="CZ7" i="1" s="1"/>
  <c r="BE8" i="1" s="1"/>
  <c r="CJ7" i="1"/>
  <c r="CV7" i="1" s="1"/>
  <c r="BA8" i="1" s="1"/>
  <c r="EI7" i="1"/>
  <c r="EJ7" i="1"/>
  <c r="BQ7" i="1"/>
  <c r="AD8" i="1" s="1"/>
  <c r="CK7" i="1"/>
  <c r="CW7" i="1" s="1"/>
  <c r="BB8" i="1" s="1"/>
  <c r="BO7" i="1"/>
  <c r="CS7" i="1"/>
  <c r="DE7" i="1" s="1"/>
  <c r="CH7" i="1"/>
  <c r="CT7" i="1" s="1"/>
  <c r="CQ7" i="1"/>
  <c r="DC7" i="1" s="1"/>
  <c r="BH8" i="1" s="1"/>
  <c r="CM7" i="1"/>
  <c r="CY7" i="1" s="1"/>
  <c r="BD8" i="1" s="1"/>
  <c r="CR7" i="1"/>
  <c r="DD7" i="1" s="1"/>
  <c r="BI8" i="1" s="1"/>
  <c r="CL7" i="1"/>
  <c r="CX7" i="1" s="1"/>
  <c r="BC8" i="1" s="1"/>
  <c r="CO7" i="1"/>
  <c r="DA7" i="1" s="1"/>
  <c r="BF8" i="1" s="1"/>
  <c r="DX6" i="1"/>
  <c r="CI7" i="1"/>
  <c r="CU7" i="1" s="1"/>
  <c r="AZ8" i="1" s="1"/>
  <c r="CP7" i="1"/>
  <c r="DB7" i="1" s="1"/>
  <c r="BG8" i="1" s="1"/>
  <c r="X12" i="1"/>
  <c r="DK11" i="1"/>
  <c r="AM11" i="1"/>
  <c r="EH7" i="1"/>
  <c r="AQ16" i="1"/>
  <c r="DO16" i="1"/>
  <c r="AB17" i="1"/>
  <c r="EM7" i="1" l="1"/>
  <c r="EO7" i="1" s="1"/>
  <c r="EQ7" i="1" s="1"/>
  <c r="ES7" i="1" s="1"/>
  <c r="AX7" i="1"/>
  <c r="AY8" i="1" s="1"/>
  <c r="ED5" i="1"/>
  <c r="DY6" i="1"/>
  <c r="Y13" i="1"/>
  <c r="DL12" i="1"/>
  <c r="AN12" i="1"/>
  <c r="AT8" i="1"/>
  <c r="AR17" i="1"/>
  <c r="DP17" i="1"/>
  <c r="DV7" i="1" l="1"/>
  <c r="EE5" i="1"/>
  <c r="Z14" i="1"/>
  <c r="DM13" i="1"/>
  <c r="AO13" i="1"/>
  <c r="DW7" i="1"/>
  <c r="DZ6" i="1"/>
  <c r="EF5" i="1" l="1"/>
  <c r="BP5" i="1"/>
  <c r="R8" i="1" s="1"/>
  <c r="EA6" i="1"/>
  <c r="DX7" i="1"/>
  <c r="AA15" i="1"/>
  <c r="AP14" i="1"/>
  <c r="DN14" i="1"/>
  <c r="S9" i="1" l="1"/>
  <c r="AH8" i="1"/>
  <c r="DF8" i="1"/>
  <c r="CD8" i="1"/>
  <c r="CG8" i="1"/>
  <c r="DU8" i="1" s="1"/>
  <c r="CF8" i="1"/>
  <c r="CE8" i="1"/>
  <c r="EG5" i="1"/>
  <c r="EL5" i="1" s="1"/>
  <c r="EN5" i="1" s="1"/>
  <c r="EP5" i="1" s="1"/>
  <c r="ER5" i="1" s="1"/>
  <c r="BN5" i="1"/>
  <c r="AB16" i="1"/>
  <c r="AQ15" i="1"/>
  <c r="DO15" i="1"/>
  <c r="DY7" i="1"/>
  <c r="EB6" i="1"/>
  <c r="AE9" i="1" l="1"/>
  <c r="AU9" i="1" s="1"/>
  <c r="DR8" i="1"/>
  <c r="AF9" i="1"/>
  <c r="AV9" i="1" s="1"/>
  <c r="DS8" i="1"/>
  <c r="BK8" i="1"/>
  <c r="BM8" i="1"/>
  <c r="EK8" i="1" s="1"/>
  <c r="BJ8" i="1"/>
  <c r="BL8" i="1"/>
  <c r="DT8" i="1"/>
  <c r="AG9" i="1"/>
  <c r="AW9" i="1" s="1"/>
  <c r="AI9" i="1"/>
  <c r="DG9" i="1"/>
  <c r="T10" i="1"/>
  <c r="DZ7" i="1"/>
  <c r="EC6" i="1"/>
  <c r="DP16" i="1"/>
  <c r="AR16" i="1"/>
  <c r="CJ8" i="1" l="1"/>
  <c r="CV8" i="1" s="1"/>
  <c r="BA9" i="1" s="1"/>
  <c r="CH8" i="1"/>
  <c r="CT8" i="1" s="1"/>
  <c r="AX8" i="1" s="1"/>
  <c r="AY9" i="1" s="1"/>
  <c r="CI8" i="1"/>
  <c r="CU8" i="1" s="1"/>
  <c r="AZ9" i="1" s="1"/>
  <c r="CL8" i="1"/>
  <c r="CX8" i="1" s="1"/>
  <c r="BC9" i="1" s="1"/>
  <c r="CQ8" i="1"/>
  <c r="DC8" i="1" s="1"/>
  <c r="BH9" i="1" s="1"/>
  <c r="CP8" i="1"/>
  <c r="DB8" i="1" s="1"/>
  <c r="BG9" i="1" s="1"/>
  <c r="CR8" i="1"/>
  <c r="DD8" i="1" s="1"/>
  <c r="BI9" i="1" s="1"/>
  <c r="CK8" i="1"/>
  <c r="CW8" i="1" s="1"/>
  <c r="BB9" i="1" s="1"/>
  <c r="EJ8" i="1"/>
  <c r="CN8" i="1"/>
  <c r="CZ8" i="1" s="1"/>
  <c r="BE9" i="1" s="1"/>
  <c r="BQ8" i="1"/>
  <c r="AD9" i="1" s="1"/>
  <c r="AT9" i="1" s="1"/>
  <c r="BO8" i="1"/>
  <c r="CM8" i="1"/>
  <c r="CY8" i="1" s="1"/>
  <c r="BD9" i="1" s="1"/>
  <c r="AC9" i="1"/>
  <c r="EH8" i="1"/>
  <c r="CS8" i="1"/>
  <c r="DE8" i="1" s="1"/>
  <c r="AJ10" i="1"/>
  <c r="DH10" i="1"/>
  <c r="U11" i="1"/>
  <c r="EI8" i="1"/>
  <c r="CO8" i="1"/>
  <c r="DA8" i="1" s="1"/>
  <c r="BF9" i="1" s="1"/>
  <c r="ED6" i="1"/>
  <c r="EA7" i="1"/>
  <c r="DV8" i="1" l="1"/>
  <c r="DI11" i="1"/>
  <c r="AK11" i="1"/>
  <c r="V12" i="1"/>
  <c r="AS9" i="1"/>
  <c r="DQ9" i="1"/>
  <c r="DW8" i="1"/>
  <c r="EM8" i="1"/>
  <c r="EO8" i="1" s="1"/>
  <c r="EQ8" i="1" s="1"/>
  <c r="ES8" i="1" s="1"/>
  <c r="EB7" i="1"/>
  <c r="EE6" i="1"/>
  <c r="DX8" i="1" l="1"/>
  <c r="DJ12" i="1"/>
  <c r="AL12" i="1"/>
  <c r="W13" i="1"/>
  <c r="EC7" i="1"/>
  <c r="EF6" i="1"/>
  <c r="AM13" i="1" l="1"/>
  <c r="X14" i="1"/>
  <c r="DK13" i="1"/>
  <c r="DY8" i="1"/>
  <c r="ED7" i="1"/>
  <c r="EG6" i="1"/>
  <c r="EL6" i="1" s="1"/>
  <c r="EN6" i="1" s="1"/>
  <c r="EP6" i="1" s="1"/>
  <c r="ER6" i="1" s="1"/>
  <c r="BN6" i="1"/>
  <c r="BP6" i="1"/>
  <c r="R9" i="1" s="1"/>
  <c r="DZ8" i="1" l="1"/>
  <c r="DL14" i="1"/>
  <c r="AN14" i="1"/>
  <c r="Y15" i="1"/>
  <c r="EE7" i="1"/>
  <c r="DF9" i="1"/>
  <c r="S10" i="1"/>
  <c r="AH9" i="1"/>
  <c r="CE9" i="1"/>
  <c r="CD9" i="1"/>
  <c r="CF9" i="1"/>
  <c r="CG9" i="1"/>
  <c r="DU9" i="1" s="1"/>
  <c r="AO15" i="1" l="1"/>
  <c r="DM15" i="1"/>
  <c r="Z16" i="1"/>
  <c r="EA8" i="1"/>
  <c r="DR9" i="1"/>
  <c r="AC10" i="1" s="1"/>
  <c r="AE10" i="1"/>
  <c r="DS9" i="1"/>
  <c r="AF10" i="1"/>
  <c r="BK9" i="1"/>
  <c r="BM9" i="1"/>
  <c r="EK9" i="1" s="1"/>
  <c r="BL9" i="1"/>
  <c r="BJ9" i="1"/>
  <c r="DG10" i="1"/>
  <c r="AI10" i="1"/>
  <c r="T11" i="1"/>
  <c r="DT9" i="1"/>
  <c r="AG10" i="1"/>
  <c r="AW10" i="1" s="1"/>
  <c r="EF7" i="1"/>
  <c r="CK9" i="1" l="1"/>
  <c r="CW9" i="1" s="1"/>
  <c r="BB10" i="1" s="1"/>
  <c r="EB8" i="1"/>
  <c r="DN16" i="1"/>
  <c r="AA17" i="1"/>
  <c r="AP16" i="1"/>
  <c r="CH9" i="1"/>
  <c r="CT9" i="1" s="1"/>
  <c r="CR9" i="1"/>
  <c r="DD9" i="1" s="1"/>
  <c r="BI10" i="1" s="1"/>
  <c r="EG7" i="1"/>
  <c r="EL7" i="1" s="1"/>
  <c r="EN7" i="1" s="1"/>
  <c r="EP7" i="1" s="1"/>
  <c r="ER7" i="1" s="1"/>
  <c r="BP7" i="1"/>
  <c r="R10" i="1" s="1"/>
  <c r="BN7" i="1"/>
  <c r="U12" i="1"/>
  <c r="AJ11" i="1"/>
  <c r="DH11" i="1"/>
  <c r="AU10" i="1"/>
  <c r="CO9" i="1"/>
  <c r="DA9" i="1" s="1"/>
  <c r="BF10" i="1" s="1"/>
  <c r="CM9" i="1"/>
  <c r="CY9" i="1" s="1"/>
  <c r="BD10" i="1" s="1"/>
  <c r="AV10" i="1"/>
  <c r="CJ9" i="1"/>
  <c r="CV9" i="1" s="1"/>
  <c r="BA10" i="1" s="1"/>
  <c r="EH9" i="1"/>
  <c r="BO9" i="1"/>
  <c r="BQ9" i="1"/>
  <c r="AD10" i="1" s="1"/>
  <c r="CP9" i="1"/>
  <c r="DB9" i="1" s="1"/>
  <c r="BG10" i="1" s="1"/>
  <c r="CI9" i="1"/>
  <c r="CU9" i="1" s="1"/>
  <c r="AZ10" i="1" s="1"/>
  <c r="EJ9" i="1"/>
  <c r="CN9" i="1"/>
  <c r="CZ9" i="1" s="1"/>
  <c r="BE10" i="1" s="1"/>
  <c r="CL9" i="1"/>
  <c r="CX9" i="1" s="1"/>
  <c r="BC10" i="1" s="1"/>
  <c r="CS9" i="1"/>
  <c r="DE9" i="1" s="1"/>
  <c r="DQ10" i="1"/>
  <c r="AS10" i="1"/>
  <c r="EI9" i="1"/>
  <c r="CQ9" i="1"/>
  <c r="DC9" i="1" s="1"/>
  <c r="BH10" i="1" s="1"/>
  <c r="AX9" i="1" l="1"/>
  <c r="AY10" i="1" s="1"/>
  <c r="AQ17" i="1"/>
  <c r="DO17" i="1"/>
  <c r="AB18" i="1"/>
  <c r="EC8" i="1"/>
  <c r="EM9" i="1"/>
  <c r="EO9" i="1" s="1"/>
  <c r="EQ9" i="1" s="1"/>
  <c r="ES9" i="1" s="1"/>
  <c r="AT10" i="1"/>
  <c r="AK12" i="1"/>
  <c r="V13" i="1"/>
  <c r="DI12" i="1"/>
  <c r="DF10" i="1"/>
  <c r="S11" i="1"/>
  <c r="AH10" i="1"/>
  <c r="CD10" i="1"/>
  <c r="AE11" i="1" s="1"/>
  <c r="CE10" i="1"/>
  <c r="CG10" i="1"/>
  <c r="DU10" i="1" s="1"/>
  <c r="CF10" i="1"/>
  <c r="DV9" i="1" l="1"/>
  <c r="DW9" i="1"/>
  <c r="ED8" i="1"/>
  <c r="DP18" i="1"/>
  <c r="AR18" i="1"/>
  <c r="AU11" i="1"/>
  <c r="BJ10" i="1"/>
  <c r="BM10" i="1"/>
  <c r="EK10" i="1" s="1"/>
  <c r="BK10" i="1"/>
  <c r="BL10" i="1"/>
  <c r="DG11" i="1"/>
  <c r="AI11" i="1"/>
  <c r="T12" i="1"/>
  <c r="DR10" i="1"/>
  <c r="DT10" i="1"/>
  <c r="AG11" i="1"/>
  <c r="AW11" i="1" s="1"/>
  <c r="AL13" i="1"/>
  <c r="DJ13" i="1"/>
  <c r="W14" i="1"/>
  <c r="DS10" i="1"/>
  <c r="AF11" i="1"/>
  <c r="DX9" i="1"/>
  <c r="CJ10" i="1" l="1"/>
  <c r="CV10" i="1" s="1"/>
  <c r="BA11" i="1" s="1"/>
  <c r="CO10" i="1"/>
  <c r="DA10" i="1" s="1"/>
  <c r="BF11" i="1" s="1"/>
  <c r="CS10" i="1"/>
  <c r="DE10" i="1" s="1"/>
  <c r="CR10" i="1"/>
  <c r="DD10" i="1" s="1"/>
  <c r="BI11" i="1" s="1"/>
  <c r="CM10" i="1"/>
  <c r="CY10" i="1" s="1"/>
  <c r="BD11" i="1" s="1"/>
  <c r="CH10" i="1"/>
  <c r="CT10" i="1" s="1"/>
  <c r="CL10" i="1"/>
  <c r="CX10" i="1" s="1"/>
  <c r="BC11" i="1" s="1"/>
  <c r="CP10" i="1"/>
  <c r="DB10" i="1" s="1"/>
  <c r="BG11" i="1" s="1"/>
  <c r="EE8" i="1"/>
  <c r="CI10" i="1"/>
  <c r="CU10" i="1" s="1"/>
  <c r="AZ11" i="1" s="1"/>
  <c r="BQ10" i="1"/>
  <c r="AD11" i="1" s="1"/>
  <c r="AT11" i="1" s="1"/>
  <c r="AC11" i="1"/>
  <c r="EH10" i="1"/>
  <c r="EJ10" i="1"/>
  <c r="DY9" i="1"/>
  <c r="EI10" i="1"/>
  <c r="BO10" i="1"/>
  <c r="AV11" i="1"/>
  <c r="CN10" i="1"/>
  <c r="CZ10" i="1" s="1"/>
  <c r="BE11" i="1" s="1"/>
  <c r="DK14" i="1"/>
  <c r="AM14" i="1"/>
  <c r="X15" i="1"/>
  <c r="CK10" i="1"/>
  <c r="CW10" i="1" s="1"/>
  <c r="BB11" i="1" s="1"/>
  <c r="CQ10" i="1"/>
  <c r="DC10" i="1" s="1"/>
  <c r="BH11" i="1" s="1"/>
  <c r="AJ12" i="1"/>
  <c r="DH12" i="1"/>
  <c r="U13" i="1"/>
  <c r="AX10" i="1" l="1"/>
  <c r="AY11" i="1" s="1"/>
  <c r="EG8" i="1"/>
  <c r="EF8" i="1"/>
  <c r="BN8" i="1"/>
  <c r="DL15" i="1"/>
  <c r="AN15" i="1"/>
  <c r="Y16" i="1"/>
  <c r="DZ9" i="1"/>
  <c r="EM10" i="1"/>
  <c r="EO10" i="1" s="1"/>
  <c r="EQ10" i="1" s="1"/>
  <c r="ES10" i="1" s="1"/>
  <c r="AK13" i="1"/>
  <c r="DI13" i="1"/>
  <c r="V14" i="1"/>
  <c r="DQ11" i="1"/>
  <c r="AS11" i="1"/>
  <c r="DV10" i="1" l="1"/>
  <c r="DW10" i="1"/>
  <c r="BP8" i="1"/>
  <c r="R11" i="1" s="1"/>
  <c r="S12" i="1" s="1"/>
  <c r="EL8" i="1"/>
  <c r="EN8" i="1" s="1"/>
  <c r="EP8" i="1" s="1"/>
  <c r="ER8" i="1" s="1"/>
  <c r="EA9" i="1"/>
  <c r="AL14" i="1"/>
  <c r="W15" i="1"/>
  <c r="DJ14" i="1"/>
  <c r="DM16" i="1"/>
  <c r="AO16" i="1"/>
  <c r="Z17" i="1"/>
  <c r="DX10" i="1"/>
  <c r="DF11" i="1" l="1"/>
  <c r="CE11" i="1"/>
  <c r="DS11" i="1" s="1"/>
  <c r="CD11" i="1"/>
  <c r="AE12" i="1" s="1"/>
  <c r="AU12" i="1" s="1"/>
  <c r="CG11" i="1"/>
  <c r="DU11" i="1" s="1"/>
  <c r="AH11" i="1"/>
  <c r="BM11" i="1" s="1"/>
  <c r="CF11" i="1"/>
  <c r="DG12" i="1"/>
  <c r="T13" i="1"/>
  <c r="AI12" i="1"/>
  <c r="AP17" i="1"/>
  <c r="DN17" i="1"/>
  <c r="AA18" i="1"/>
  <c r="DY10" i="1"/>
  <c r="X16" i="1"/>
  <c r="DK15" i="1"/>
  <c r="AM15" i="1"/>
  <c r="EB9" i="1"/>
  <c r="AG12" i="1" l="1"/>
  <c r="AW12" i="1" s="1"/>
  <c r="BJ11" i="1"/>
  <c r="AF12" i="1"/>
  <c r="AV12" i="1" s="1"/>
  <c r="BK11" i="1"/>
  <c r="BL11" i="1"/>
  <c r="DR11" i="1"/>
  <c r="DT11" i="1"/>
  <c r="EK11" i="1"/>
  <c r="AJ13" i="1"/>
  <c r="DH13" i="1"/>
  <c r="U14" i="1"/>
  <c r="EC9" i="1"/>
  <c r="AN16" i="1"/>
  <c r="DL16" i="1"/>
  <c r="Y17" i="1"/>
  <c r="DO18" i="1"/>
  <c r="AQ18" i="1"/>
  <c r="AB19" i="1"/>
  <c r="DZ10" i="1"/>
  <c r="EH11" i="1" l="1"/>
  <c r="CJ11" i="1"/>
  <c r="CV11" i="1" s="1"/>
  <c r="BA12" i="1" s="1"/>
  <c r="CL11" i="1"/>
  <c r="CX11" i="1" s="1"/>
  <c r="BC12" i="1" s="1"/>
  <c r="CK11" i="1"/>
  <c r="CW11" i="1" s="1"/>
  <c r="BB12" i="1" s="1"/>
  <c r="CP11" i="1"/>
  <c r="DB11" i="1" s="1"/>
  <c r="BG12" i="1" s="1"/>
  <c r="EJ11" i="1"/>
  <c r="CR11" i="1"/>
  <c r="DD11" i="1" s="1"/>
  <c r="BI12" i="1" s="1"/>
  <c r="CI11" i="1"/>
  <c r="CU11" i="1" s="1"/>
  <c r="AZ12" i="1" s="1"/>
  <c r="AC12" i="1"/>
  <c r="AS12" i="1" s="1"/>
  <c r="CQ11" i="1"/>
  <c r="DC11" i="1" s="1"/>
  <c r="BH12" i="1" s="1"/>
  <c r="BQ11" i="1"/>
  <c r="AD12" i="1" s="1"/>
  <c r="AT12" i="1" s="1"/>
  <c r="CO11" i="1"/>
  <c r="DA11" i="1" s="1"/>
  <c r="BF12" i="1" s="1"/>
  <c r="CS11" i="1"/>
  <c r="DE11" i="1" s="1"/>
  <c r="CN11" i="1"/>
  <c r="CZ11" i="1" s="1"/>
  <c r="BE12" i="1" s="1"/>
  <c r="CM11" i="1"/>
  <c r="CY11" i="1" s="1"/>
  <c r="BD12" i="1" s="1"/>
  <c r="EI11" i="1"/>
  <c r="CH11" i="1"/>
  <c r="CT11" i="1" s="1"/>
  <c r="AX11" i="1" s="1"/>
  <c r="AY12" i="1" s="1"/>
  <c r="BO11" i="1"/>
  <c r="DI14" i="1"/>
  <c r="AK14" i="1"/>
  <c r="V15" i="1"/>
  <c r="Z18" i="1"/>
  <c r="DM17" i="1"/>
  <c r="AO17" i="1"/>
  <c r="EA10" i="1"/>
  <c r="DP19" i="1"/>
  <c r="AR19" i="1"/>
  <c r="ED9" i="1"/>
  <c r="EM11" i="1" l="1"/>
  <c r="EO11" i="1" s="1"/>
  <c r="EQ11" i="1" s="1"/>
  <c r="ES11" i="1" s="1"/>
  <c r="DQ12" i="1"/>
  <c r="DW11" i="1"/>
  <c r="DV11" i="1"/>
  <c r="DJ15" i="1"/>
  <c r="W16" i="1"/>
  <c r="AL15" i="1"/>
  <c r="EE9" i="1"/>
  <c r="EB10" i="1"/>
  <c r="DN18" i="1"/>
  <c r="AP18" i="1"/>
  <c r="AA19" i="1"/>
  <c r="DX11" i="1" l="1"/>
  <c r="X17" i="1"/>
  <c r="AM16" i="1"/>
  <c r="DK16" i="1"/>
  <c r="AQ19" i="1"/>
  <c r="DO19" i="1"/>
  <c r="AB20" i="1"/>
  <c r="EC10" i="1"/>
  <c r="EF9" i="1"/>
  <c r="DY11" i="1" l="1"/>
  <c r="DL17" i="1"/>
  <c r="AN17" i="1"/>
  <c r="Y18" i="1"/>
  <c r="EG9" i="1"/>
  <c r="EL9" i="1" s="1"/>
  <c r="EN9" i="1" s="1"/>
  <c r="EP9" i="1" s="1"/>
  <c r="ER9" i="1" s="1"/>
  <c r="BN9" i="1"/>
  <c r="BP9" i="1"/>
  <c r="R12" i="1" s="1"/>
  <c r="ED10" i="1"/>
  <c r="DP20" i="1"/>
  <c r="AR20" i="1"/>
  <c r="DZ11" i="1" l="1"/>
  <c r="AO18" i="1"/>
  <c r="Z19" i="1"/>
  <c r="DM18" i="1"/>
  <c r="S13" i="1"/>
  <c r="DF12" i="1"/>
  <c r="AH12" i="1"/>
  <c r="CE12" i="1"/>
  <c r="CF12" i="1"/>
  <c r="CD12" i="1"/>
  <c r="CG12" i="1"/>
  <c r="DU12" i="1" s="1"/>
  <c r="EE10" i="1"/>
  <c r="EA11" i="1" l="1"/>
  <c r="DN19" i="1"/>
  <c r="AA20" i="1"/>
  <c r="AP19" i="1"/>
  <c r="DR12" i="1"/>
  <c r="AE13" i="1"/>
  <c r="DT12" i="1"/>
  <c r="AG13" i="1"/>
  <c r="AW13" i="1" s="1"/>
  <c r="DS12" i="1"/>
  <c r="AF13" i="1"/>
  <c r="EF10" i="1"/>
  <c r="BL12" i="1"/>
  <c r="BM12" i="1"/>
  <c r="EK12" i="1" s="1"/>
  <c r="BK12" i="1"/>
  <c r="BJ12" i="1"/>
  <c r="T14" i="1"/>
  <c r="DG13" i="1"/>
  <c r="AI13" i="1"/>
  <c r="EB11" i="1" l="1"/>
  <c r="DO20" i="1"/>
  <c r="AQ20" i="1"/>
  <c r="AB21" i="1"/>
  <c r="DH14" i="1"/>
  <c r="AJ14" i="1"/>
  <c r="U15" i="1"/>
  <c r="BO12" i="1"/>
  <c r="BQ12" i="1"/>
  <c r="AD13" i="1" s="1"/>
  <c r="CH12" i="1"/>
  <c r="CT12" i="1" s="1"/>
  <c r="AX12" i="1" s="1"/>
  <c r="AY13" i="1" s="1"/>
  <c r="EH12" i="1"/>
  <c r="AC13" i="1"/>
  <c r="EJ12" i="1"/>
  <c r="CL12" i="1"/>
  <c r="CX12" i="1" s="1"/>
  <c r="BC13" i="1" s="1"/>
  <c r="AU13" i="1"/>
  <c r="CP12" i="1"/>
  <c r="DB12" i="1" s="1"/>
  <c r="BG13" i="1" s="1"/>
  <c r="CS12" i="1"/>
  <c r="DE12" i="1" s="1"/>
  <c r="CO12" i="1"/>
  <c r="DA12" i="1" s="1"/>
  <c r="BF13" i="1" s="1"/>
  <c r="CI12" i="1"/>
  <c r="CU12" i="1" s="1"/>
  <c r="AZ13" i="1" s="1"/>
  <c r="CM12" i="1"/>
  <c r="CY12" i="1" s="1"/>
  <c r="BD13" i="1" s="1"/>
  <c r="EG10" i="1"/>
  <c r="EL10" i="1" s="1"/>
  <c r="EN10" i="1" s="1"/>
  <c r="EP10" i="1" s="1"/>
  <c r="ER10" i="1" s="1"/>
  <c r="BN10" i="1"/>
  <c r="BP10" i="1"/>
  <c r="R13" i="1" s="1"/>
  <c r="CJ12" i="1"/>
  <c r="CV12" i="1" s="1"/>
  <c r="BA13" i="1" s="1"/>
  <c r="CN12" i="1"/>
  <c r="CZ12" i="1" s="1"/>
  <c r="BE13" i="1" s="1"/>
  <c r="AV13" i="1"/>
  <c r="CK12" i="1"/>
  <c r="CW12" i="1" s="1"/>
  <c r="BB13" i="1" s="1"/>
  <c r="CQ12" i="1"/>
  <c r="DC12" i="1" s="1"/>
  <c r="BH13" i="1" s="1"/>
  <c r="EI12" i="1"/>
  <c r="CR12" i="1"/>
  <c r="DD12" i="1" s="1"/>
  <c r="BI13" i="1" s="1"/>
  <c r="EC11" i="1" l="1"/>
  <c r="DP21" i="1"/>
  <c r="AR21" i="1"/>
  <c r="EM12" i="1"/>
  <c r="EO12" i="1" s="1"/>
  <c r="EQ12" i="1" s="1"/>
  <c r="ES12" i="1" s="1"/>
  <c r="AS13" i="1"/>
  <c r="DQ13" i="1"/>
  <c r="DV12" i="1"/>
  <c r="AT13" i="1"/>
  <c r="V16" i="1"/>
  <c r="DI15" i="1"/>
  <c r="AK15" i="1"/>
  <c r="S14" i="1"/>
  <c r="AH13" i="1"/>
  <c r="DF13" i="1"/>
  <c r="CE13" i="1"/>
  <c r="CD13" i="1"/>
  <c r="CG13" i="1"/>
  <c r="DU13" i="1" s="1"/>
  <c r="CF13" i="1"/>
  <c r="ED11" i="1" l="1"/>
  <c r="DR13" i="1"/>
  <c r="DS13" i="1"/>
  <c r="AF14" i="1"/>
  <c r="DW12" i="1"/>
  <c r="BL13" i="1"/>
  <c r="BK13" i="1"/>
  <c r="BJ13" i="1"/>
  <c r="BM13" i="1"/>
  <c r="EK13" i="1" s="1"/>
  <c r="DG14" i="1"/>
  <c r="AI14" i="1"/>
  <c r="T15" i="1"/>
  <c r="W17" i="1"/>
  <c r="DJ16" i="1"/>
  <c r="AL16" i="1"/>
  <c r="DT13" i="1"/>
  <c r="AG14" i="1"/>
  <c r="AW14" i="1" s="1"/>
  <c r="AE14" i="1"/>
  <c r="EE11" i="1" l="1"/>
  <c r="BO13" i="1"/>
  <c r="EJ13" i="1"/>
  <c r="CM13" i="1"/>
  <c r="CY13" i="1" s="1"/>
  <c r="BD14" i="1" s="1"/>
  <c r="EI13" i="1"/>
  <c r="CL13" i="1"/>
  <c r="CX13" i="1" s="1"/>
  <c r="BC14" i="1" s="1"/>
  <c r="CN13" i="1"/>
  <c r="CZ13" i="1" s="1"/>
  <c r="BE14" i="1" s="1"/>
  <c r="CH13" i="1"/>
  <c r="CT13" i="1" s="1"/>
  <c r="AX13" i="1" s="1"/>
  <c r="AY14" i="1" s="1"/>
  <c r="BQ13" i="1"/>
  <c r="AD14" i="1" s="1"/>
  <c r="CO13" i="1"/>
  <c r="DA13" i="1" s="1"/>
  <c r="BF14" i="1" s="1"/>
  <c r="EH13" i="1"/>
  <c r="AC14" i="1"/>
  <c r="DK17" i="1"/>
  <c r="AM17" i="1"/>
  <c r="X18" i="1"/>
  <c r="CS13" i="1"/>
  <c r="DE13" i="1" s="1"/>
  <c r="DX12" i="1"/>
  <c r="CI13" i="1"/>
  <c r="CU13" i="1" s="1"/>
  <c r="AZ14" i="1" s="1"/>
  <c r="CP13" i="1"/>
  <c r="DB13" i="1" s="1"/>
  <c r="BG14" i="1" s="1"/>
  <c r="AV14" i="1"/>
  <c r="CJ13" i="1"/>
  <c r="CV13" i="1" s="1"/>
  <c r="BA14" i="1" s="1"/>
  <c r="CQ13" i="1"/>
  <c r="DC13" i="1" s="1"/>
  <c r="BH14" i="1" s="1"/>
  <c r="AJ15" i="1"/>
  <c r="DH15" i="1"/>
  <c r="U16" i="1"/>
  <c r="AU14" i="1"/>
  <c r="CK13" i="1"/>
  <c r="CW13" i="1" s="1"/>
  <c r="BB14" i="1" s="1"/>
  <c r="CR13" i="1"/>
  <c r="DD13" i="1" s="1"/>
  <c r="BI14" i="1" s="1"/>
  <c r="EM13" i="1" l="1"/>
  <c r="EO13" i="1" s="1"/>
  <c r="EQ13" i="1" s="1"/>
  <c r="ES13" i="1" s="1"/>
  <c r="EF11" i="1"/>
  <c r="AN18" i="1"/>
  <c r="Y19" i="1"/>
  <c r="DL18" i="1"/>
  <c r="AT14" i="1"/>
  <c r="DQ14" i="1"/>
  <c r="AS14" i="1"/>
  <c r="DV13" i="1"/>
  <c r="DY12" i="1"/>
  <c r="V17" i="1"/>
  <c r="AK16" i="1"/>
  <c r="DI16" i="1"/>
  <c r="EG11" i="1" l="1"/>
  <c r="EL11" i="1" s="1"/>
  <c r="EN11" i="1" s="1"/>
  <c r="EP11" i="1" s="1"/>
  <c r="ER11" i="1" s="1"/>
  <c r="BN11" i="1"/>
  <c r="BP11" i="1"/>
  <c r="R14" i="1" s="1"/>
  <c r="DZ12" i="1"/>
  <c r="DW13" i="1"/>
  <c r="DM19" i="1"/>
  <c r="AO19" i="1"/>
  <c r="Z20" i="1"/>
  <c r="DJ17" i="1"/>
  <c r="W18" i="1"/>
  <c r="AL17" i="1"/>
  <c r="CG14" i="1" l="1"/>
  <c r="DU14" i="1" s="1"/>
  <c r="AH14" i="1"/>
  <c r="CD14" i="1"/>
  <c r="DF14" i="1"/>
  <c r="S15" i="1"/>
  <c r="CF14" i="1"/>
  <c r="CE14" i="1"/>
  <c r="DN20" i="1"/>
  <c r="AP20" i="1"/>
  <c r="AA21" i="1"/>
  <c r="AM18" i="1"/>
  <c r="DK18" i="1"/>
  <c r="X19" i="1"/>
  <c r="DX13" i="1"/>
  <c r="EA12" i="1"/>
  <c r="DS14" i="1" l="1"/>
  <c r="AF15" i="1"/>
  <c r="AV15" i="1" s="1"/>
  <c r="DT14" i="1"/>
  <c r="AG15" i="1"/>
  <c r="AW15" i="1" s="1"/>
  <c r="DG15" i="1"/>
  <c r="T16" i="1"/>
  <c r="AI15" i="1"/>
  <c r="AE15" i="1"/>
  <c r="AU15" i="1" s="1"/>
  <c r="DR14" i="1"/>
  <c r="BL14" i="1"/>
  <c r="BM14" i="1"/>
  <c r="EK14" i="1" s="1"/>
  <c r="BJ14" i="1"/>
  <c r="BK14" i="1"/>
  <c r="Y20" i="1"/>
  <c r="AN19" i="1"/>
  <c r="DL19" i="1"/>
  <c r="EB12" i="1"/>
  <c r="DO21" i="1"/>
  <c r="AQ21" i="1"/>
  <c r="AB22" i="1"/>
  <c r="DY13" i="1"/>
  <c r="CI14" i="1" l="1"/>
  <c r="CU14" i="1" s="1"/>
  <c r="AZ15" i="1" s="1"/>
  <c r="CP14" i="1"/>
  <c r="DB14" i="1" s="1"/>
  <c r="BG15" i="1" s="1"/>
  <c r="CM14" i="1"/>
  <c r="CY14" i="1" s="1"/>
  <c r="BD15" i="1" s="1"/>
  <c r="CJ14" i="1"/>
  <c r="CV14" i="1" s="1"/>
  <c r="BA15" i="1" s="1"/>
  <c r="DH16" i="1"/>
  <c r="U17" i="1"/>
  <c r="AJ16" i="1"/>
  <c r="CL14" i="1"/>
  <c r="CX14" i="1" s="1"/>
  <c r="BC15" i="1" s="1"/>
  <c r="CS14" i="1"/>
  <c r="DE14" i="1" s="1"/>
  <c r="CK14" i="1"/>
  <c r="CW14" i="1" s="1"/>
  <c r="BB15" i="1" s="1"/>
  <c r="EJ14" i="1"/>
  <c r="CR14" i="1"/>
  <c r="DD14" i="1" s="1"/>
  <c r="BI15" i="1" s="1"/>
  <c r="BQ14" i="1"/>
  <c r="AD15" i="1" s="1"/>
  <c r="AT15" i="1" s="1"/>
  <c r="BO14" i="1"/>
  <c r="CO14" i="1"/>
  <c r="DA14" i="1" s="1"/>
  <c r="BF15" i="1" s="1"/>
  <c r="CN14" i="1"/>
  <c r="CZ14" i="1" s="1"/>
  <c r="BE15" i="1" s="1"/>
  <c r="CH14" i="1"/>
  <c r="CT14" i="1" s="1"/>
  <c r="EH14" i="1"/>
  <c r="AC15" i="1"/>
  <c r="EI14" i="1"/>
  <c r="CQ14" i="1"/>
  <c r="DC14" i="1" s="1"/>
  <c r="BH15" i="1" s="1"/>
  <c r="DM20" i="1"/>
  <c r="AO20" i="1"/>
  <c r="Z21" i="1"/>
  <c r="EC12" i="1"/>
  <c r="DZ13" i="1"/>
  <c r="DP22" i="1"/>
  <c r="AR22" i="1"/>
  <c r="AX14" i="1" l="1"/>
  <c r="AY15" i="1" s="1"/>
  <c r="AK17" i="1"/>
  <c r="DI17" i="1"/>
  <c r="V18" i="1"/>
  <c r="DQ15" i="1"/>
  <c r="AS15" i="1"/>
  <c r="EM14" i="1"/>
  <c r="EO14" i="1" s="1"/>
  <c r="EQ14" i="1" s="1"/>
  <c r="ES14" i="1" s="1"/>
  <c r="EA13" i="1"/>
  <c r="AP21" i="1"/>
  <c r="DN21" i="1"/>
  <c r="AA22" i="1"/>
  <c r="ED12" i="1"/>
  <c r="DV14" i="1" l="1"/>
  <c r="DW14" i="1"/>
  <c r="AL18" i="1"/>
  <c r="W19" i="1"/>
  <c r="DJ18" i="1"/>
  <c r="EE12" i="1"/>
  <c r="EB13" i="1"/>
  <c r="DO22" i="1"/>
  <c r="AB23" i="1"/>
  <c r="AQ22" i="1"/>
  <c r="AM19" i="1" l="1"/>
  <c r="X20" i="1"/>
  <c r="DK19" i="1"/>
  <c r="DX14" i="1"/>
  <c r="DP23" i="1"/>
  <c r="AR23" i="1"/>
  <c r="EC13" i="1"/>
  <c r="EF12" i="1"/>
  <c r="DY14" i="1" l="1"/>
  <c r="AN20" i="1"/>
  <c r="DL20" i="1"/>
  <c r="Y21" i="1"/>
  <c r="EG12" i="1"/>
  <c r="EL12" i="1" s="1"/>
  <c r="EN12" i="1" s="1"/>
  <c r="EP12" i="1" s="1"/>
  <c r="ER12" i="1" s="1"/>
  <c r="BN12" i="1"/>
  <c r="BP12" i="1"/>
  <c r="R15" i="1" s="1"/>
  <c r="ED13" i="1"/>
  <c r="Z22" i="1" l="1"/>
  <c r="AO21" i="1"/>
  <c r="DM21" i="1"/>
  <c r="DZ14" i="1"/>
  <c r="EE13" i="1"/>
  <c r="S16" i="1"/>
  <c r="DF15" i="1"/>
  <c r="AH15" i="1"/>
  <c r="CF15" i="1"/>
  <c r="CG15" i="1"/>
  <c r="DU15" i="1" s="1"/>
  <c r="CE15" i="1"/>
  <c r="CD15" i="1"/>
  <c r="EA14" i="1" l="1"/>
  <c r="DN22" i="1"/>
  <c r="AP22" i="1"/>
  <c r="AA23" i="1"/>
  <c r="BM15" i="1"/>
  <c r="EK15" i="1" s="1"/>
  <c r="BK15" i="1"/>
  <c r="BJ15" i="1"/>
  <c r="BL15" i="1"/>
  <c r="T17" i="1"/>
  <c r="AI16" i="1"/>
  <c r="DG16" i="1"/>
  <c r="DR15" i="1"/>
  <c r="AE16" i="1"/>
  <c r="EF13" i="1"/>
  <c r="DS15" i="1"/>
  <c r="AF16" i="1"/>
  <c r="DT15" i="1"/>
  <c r="AG16" i="1"/>
  <c r="AW16" i="1" s="1"/>
  <c r="CI15" i="1" l="1"/>
  <c r="CU15" i="1" s="1"/>
  <c r="AZ16" i="1" s="1"/>
  <c r="EJ15" i="1"/>
  <c r="CK15" i="1"/>
  <c r="CW15" i="1" s="1"/>
  <c r="BB16" i="1" s="1"/>
  <c r="CN15" i="1"/>
  <c r="CZ15" i="1" s="1"/>
  <c r="BE16" i="1" s="1"/>
  <c r="EI15" i="1"/>
  <c r="AQ23" i="1"/>
  <c r="AB24" i="1"/>
  <c r="DO23" i="1"/>
  <c r="CP15" i="1"/>
  <c r="DB15" i="1" s="1"/>
  <c r="BG16" i="1" s="1"/>
  <c r="EB14" i="1"/>
  <c r="CJ15" i="1"/>
  <c r="CV15" i="1" s="1"/>
  <c r="BA16" i="1" s="1"/>
  <c r="CQ15" i="1"/>
  <c r="DC15" i="1" s="1"/>
  <c r="BH16" i="1" s="1"/>
  <c r="CS15" i="1"/>
  <c r="DE15" i="1" s="1"/>
  <c r="CL15" i="1"/>
  <c r="CX15" i="1" s="1"/>
  <c r="BC16" i="1" s="1"/>
  <c r="CM15" i="1"/>
  <c r="CY15" i="1" s="1"/>
  <c r="BD16" i="1" s="1"/>
  <c r="AU16" i="1"/>
  <c r="BO15" i="1"/>
  <c r="BQ15" i="1"/>
  <c r="AD16" i="1" s="1"/>
  <c r="AV16" i="1"/>
  <c r="EH15" i="1"/>
  <c r="AC16" i="1"/>
  <c r="EG13" i="1"/>
  <c r="EL13" i="1" s="1"/>
  <c r="EN13" i="1" s="1"/>
  <c r="EP13" i="1" s="1"/>
  <c r="ER13" i="1" s="1"/>
  <c r="BN13" i="1"/>
  <c r="BP13" i="1"/>
  <c r="R16" i="1" s="1"/>
  <c r="CR15" i="1"/>
  <c r="DD15" i="1" s="1"/>
  <c r="BI16" i="1" s="1"/>
  <c r="CO15" i="1"/>
  <c r="DA15" i="1" s="1"/>
  <c r="BF16" i="1" s="1"/>
  <c r="AJ17" i="1"/>
  <c r="DH17" i="1"/>
  <c r="U18" i="1"/>
  <c r="CH15" i="1"/>
  <c r="CT15" i="1" s="1"/>
  <c r="AX15" i="1" s="1"/>
  <c r="AY16" i="1" s="1"/>
  <c r="EM15" i="1" l="1"/>
  <c r="EO15" i="1" s="1"/>
  <c r="EQ15" i="1" s="1"/>
  <c r="ES15" i="1" s="1"/>
  <c r="EC14" i="1"/>
  <c r="AR24" i="1"/>
  <c r="DP24" i="1"/>
  <c r="AS16" i="1"/>
  <c r="DQ16" i="1"/>
  <c r="DF16" i="1"/>
  <c r="S17" i="1"/>
  <c r="AH16" i="1"/>
  <c r="CG16" i="1"/>
  <c r="DU16" i="1" s="1"/>
  <c r="CF16" i="1"/>
  <c r="CD16" i="1"/>
  <c r="AE17" i="1" s="1"/>
  <c r="CE16" i="1"/>
  <c r="AT16" i="1"/>
  <c r="DV15" i="1"/>
  <c r="AK18" i="1"/>
  <c r="DI18" i="1"/>
  <c r="V19" i="1"/>
  <c r="ED14" i="1" l="1"/>
  <c r="DJ19" i="1"/>
  <c r="AL19" i="1"/>
  <c r="W20" i="1"/>
  <c r="T18" i="1"/>
  <c r="DG17" i="1"/>
  <c r="AI17" i="1"/>
  <c r="BL16" i="1"/>
  <c r="BJ16" i="1"/>
  <c r="BM16" i="1"/>
  <c r="EK16" i="1" s="1"/>
  <c r="BK16" i="1"/>
  <c r="DS16" i="1"/>
  <c r="AF17" i="1"/>
  <c r="DR16" i="1"/>
  <c r="AU17" i="1"/>
  <c r="DT16" i="1"/>
  <c r="AG17" i="1"/>
  <c r="AW17" i="1" s="1"/>
  <c r="DW15" i="1"/>
  <c r="EI16" i="1" l="1"/>
  <c r="CO16" i="1"/>
  <c r="DA16" i="1" s="1"/>
  <c r="BF17" i="1" s="1"/>
  <c r="EE14" i="1"/>
  <c r="CP16" i="1"/>
  <c r="DB16" i="1" s="1"/>
  <c r="BG17" i="1" s="1"/>
  <c r="CI16" i="1"/>
  <c r="CU16" i="1" s="1"/>
  <c r="AZ17" i="1" s="1"/>
  <c r="CJ16" i="1"/>
  <c r="CV16" i="1" s="1"/>
  <c r="BA17" i="1" s="1"/>
  <c r="CK16" i="1"/>
  <c r="CW16" i="1" s="1"/>
  <c r="BB17" i="1" s="1"/>
  <c r="CL16" i="1"/>
  <c r="CX16" i="1" s="1"/>
  <c r="BC17" i="1" s="1"/>
  <c r="CN16" i="1"/>
  <c r="CZ16" i="1" s="1"/>
  <c r="BE17" i="1" s="1"/>
  <c r="EJ16" i="1"/>
  <c r="CQ16" i="1"/>
  <c r="DC16" i="1" s="1"/>
  <c r="BH17" i="1" s="1"/>
  <c r="CM16" i="1"/>
  <c r="CY16" i="1" s="1"/>
  <c r="BD17" i="1" s="1"/>
  <c r="CS16" i="1"/>
  <c r="DE16" i="1" s="1"/>
  <c r="BQ16" i="1"/>
  <c r="AD17" i="1" s="1"/>
  <c r="AT17" i="1" s="1"/>
  <c r="AJ18" i="1"/>
  <c r="U19" i="1"/>
  <c r="DH18" i="1"/>
  <c r="CH16" i="1"/>
  <c r="CT16" i="1" s="1"/>
  <c r="AX16" i="1" s="1"/>
  <c r="AY17" i="1" s="1"/>
  <c r="BO16" i="1"/>
  <c r="DK20" i="1"/>
  <c r="X21" i="1"/>
  <c r="AM20" i="1"/>
  <c r="DX15" i="1"/>
  <c r="EH16" i="1"/>
  <c r="AC17" i="1"/>
  <c r="CR16" i="1"/>
  <c r="DD16" i="1" s="1"/>
  <c r="BI17" i="1" s="1"/>
  <c r="AV17" i="1"/>
  <c r="EG14" i="1" l="1"/>
  <c r="EF14" i="1"/>
  <c r="BP14" i="1"/>
  <c r="R17" i="1" s="1"/>
  <c r="CE17" i="1" s="1"/>
  <c r="BN14" i="1"/>
  <c r="EM16" i="1"/>
  <c r="EO16" i="1" s="1"/>
  <c r="EQ16" i="1" s="1"/>
  <c r="ES16" i="1" s="1"/>
  <c r="DY15" i="1"/>
  <c r="DI19" i="1"/>
  <c r="V20" i="1"/>
  <c r="AK19" i="1"/>
  <c r="DL21" i="1"/>
  <c r="AN21" i="1"/>
  <c r="Y22" i="1"/>
  <c r="AS17" i="1"/>
  <c r="DQ17" i="1"/>
  <c r="DV16" i="1"/>
  <c r="CF17" i="1" l="1"/>
  <c r="DT17" i="1" s="1"/>
  <c r="CG17" i="1"/>
  <c r="DU17" i="1" s="1"/>
  <c r="EL14" i="1"/>
  <c r="EN14" i="1" s="1"/>
  <c r="EP14" i="1" s="1"/>
  <c r="ER14" i="1" s="1"/>
  <c r="DF17" i="1"/>
  <c r="S18" i="1"/>
  <c r="AH17" i="1"/>
  <c r="CD17" i="1"/>
  <c r="DW16" i="1"/>
  <c r="DS17" i="1"/>
  <c r="AF18" i="1"/>
  <c r="DZ15" i="1"/>
  <c r="W21" i="1"/>
  <c r="AL20" i="1"/>
  <c r="DJ20" i="1"/>
  <c r="DM22" i="1"/>
  <c r="AO22" i="1"/>
  <c r="Z23" i="1"/>
  <c r="AG18" i="1" l="1"/>
  <c r="AW18" i="1" s="1"/>
  <c r="AE18" i="1"/>
  <c r="AU18" i="1" s="1"/>
  <c r="DR17" i="1"/>
  <c r="BK17" i="1"/>
  <c r="EI17" i="1" s="1"/>
  <c r="BL17" i="1"/>
  <c r="EJ17" i="1" s="1"/>
  <c r="BJ17" i="1"/>
  <c r="BM17" i="1"/>
  <c r="EK17" i="1" s="1"/>
  <c r="DG18" i="1"/>
  <c r="AI18" i="1"/>
  <c r="T19" i="1"/>
  <c r="DK21" i="1"/>
  <c r="AM21" i="1"/>
  <c r="X22" i="1"/>
  <c r="AP23" i="1"/>
  <c r="AA24" i="1"/>
  <c r="DN23" i="1"/>
  <c r="AV18" i="1"/>
  <c r="EA15" i="1"/>
  <c r="DX16" i="1"/>
  <c r="CR17" i="1" l="1"/>
  <c r="DD17" i="1" s="1"/>
  <c r="BI18" i="1" s="1"/>
  <c r="CP17" i="1"/>
  <c r="DB17" i="1" s="1"/>
  <c r="BG18" i="1" s="1"/>
  <c r="BO17" i="1"/>
  <c r="CQ17" i="1"/>
  <c r="DC17" i="1" s="1"/>
  <c r="BH18" i="1" s="1"/>
  <c r="CM17" i="1"/>
  <c r="CY17" i="1" s="1"/>
  <c r="BD18" i="1" s="1"/>
  <c r="BQ17" i="1"/>
  <c r="AD18" i="1" s="1"/>
  <c r="AT18" i="1" s="1"/>
  <c r="CL17" i="1"/>
  <c r="CX17" i="1" s="1"/>
  <c r="BC18" i="1" s="1"/>
  <c r="CI17" i="1"/>
  <c r="CU17" i="1" s="1"/>
  <c r="AZ18" i="1" s="1"/>
  <c r="CJ17" i="1"/>
  <c r="CV17" i="1" s="1"/>
  <c r="BA18" i="1" s="1"/>
  <c r="CK17" i="1"/>
  <c r="CW17" i="1" s="1"/>
  <c r="BB18" i="1" s="1"/>
  <c r="CN17" i="1"/>
  <c r="CZ17" i="1" s="1"/>
  <c r="BE18" i="1" s="1"/>
  <c r="CS17" i="1"/>
  <c r="DE17" i="1" s="1"/>
  <c r="CH17" i="1"/>
  <c r="CT17" i="1" s="1"/>
  <c r="AX17" i="1" s="1"/>
  <c r="AY18" i="1" s="1"/>
  <c r="EH17" i="1"/>
  <c r="EM17" i="1" s="1"/>
  <c r="EO17" i="1" s="1"/>
  <c r="EQ17" i="1" s="1"/>
  <c r="ES17" i="1" s="1"/>
  <c r="AC18" i="1"/>
  <c r="DH19" i="1"/>
  <c r="U20" i="1"/>
  <c r="AJ19" i="1"/>
  <c r="CO17" i="1"/>
  <c r="DA17" i="1" s="1"/>
  <c r="BF18" i="1" s="1"/>
  <c r="EB15" i="1"/>
  <c r="DO24" i="1"/>
  <c r="AQ24" i="1"/>
  <c r="AB25" i="1"/>
  <c r="DL22" i="1"/>
  <c r="AN22" i="1"/>
  <c r="Y23" i="1"/>
  <c r="DY16" i="1"/>
  <c r="AS18" i="1" l="1"/>
  <c r="DQ18" i="1"/>
  <c r="AK20" i="1"/>
  <c r="DI20" i="1"/>
  <c r="V21" i="1"/>
  <c r="DV17" i="1"/>
  <c r="DZ16" i="1"/>
  <c r="AO23" i="1"/>
  <c r="DM23" i="1"/>
  <c r="Z24" i="1"/>
  <c r="AR25" i="1"/>
  <c r="DP25" i="1"/>
  <c r="EC15" i="1"/>
  <c r="DW17" i="1" l="1"/>
  <c r="DJ21" i="1"/>
  <c r="W22" i="1"/>
  <c r="AL21" i="1"/>
  <c r="AP24" i="1"/>
  <c r="AA25" i="1"/>
  <c r="DN24" i="1"/>
  <c r="ED15" i="1"/>
  <c r="EA16" i="1"/>
  <c r="DK22" i="1" l="1"/>
  <c r="AM22" i="1"/>
  <c r="X23" i="1"/>
  <c r="DX17" i="1"/>
  <c r="EB16" i="1"/>
  <c r="EE15" i="1"/>
  <c r="DO25" i="1"/>
  <c r="AQ25" i="1"/>
  <c r="AB26" i="1"/>
  <c r="AN23" i="1" l="1"/>
  <c r="DL23" i="1"/>
  <c r="Y24" i="1"/>
  <c r="DY17" i="1"/>
  <c r="EC16" i="1"/>
  <c r="DP26" i="1"/>
  <c r="AR26" i="1"/>
  <c r="EF15" i="1"/>
  <c r="DZ17" i="1" l="1"/>
  <c r="AO24" i="1"/>
  <c r="DM24" i="1"/>
  <c r="Z25" i="1"/>
  <c r="ED16" i="1"/>
  <c r="EG15" i="1"/>
  <c r="EL15" i="1" s="1"/>
  <c r="EN15" i="1" s="1"/>
  <c r="EP15" i="1" s="1"/>
  <c r="ER15" i="1" s="1"/>
  <c r="BN15" i="1"/>
  <c r="BP15" i="1"/>
  <c r="R18" i="1" s="1"/>
  <c r="AP25" i="1" l="1"/>
  <c r="AA26" i="1"/>
  <c r="DN25" i="1"/>
  <c r="EA17" i="1"/>
  <c r="AH18" i="1"/>
  <c r="CG18" i="1"/>
  <c r="DU18" i="1" s="1"/>
  <c r="S19" i="1"/>
  <c r="DF18" i="1"/>
  <c r="CE18" i="1"/>
  <c r="CD18" i="1"/>
  <c r="CF18" i="1"/>
  <c r="EE16" i="1"/>
  <c r="EB17" i="1" l="1"/>
  <c r="AB27" i="1"/>
  <c r="AQ26" i="1"/>
  <c r="DO26" i="1"/>
  <c r="DS18" i="1"/>
  <c r="AF19" i="1"/>
  <c r="EF16" i="1"/>
  <c r="T20" i="1"/>
  <c r="DG19" i="1"/>
  <c r="AI19" i="1"/>
  <c r="BK18" i="1"/>
  <c r="BL18" i="1"/>
  <c r="BM18" i="1"/>
  <c r="EK18" i="1" s="1"/>
  <c r="BJ18" i="1"/>
  <c r="DT18" i="1"/>
  <c r="AG19" i="1"/>
  <c r="AW19" i="1" s="1"/>
  <c r="DR18" i="1"/>
  <c r="AE19" i="1"/>
  <c r="CL18" i="1" l="1"/>
  <c r="CX18" i="1" s="1"/>
  <c r="BC19" i="1" s="1"/>
  <c r="AR27" i="1"/>
  <c r="DP27" i="1"/>
  <c r="EC17" i="1"/>
  <c r="EJ18" i="1"/>
  <c r="CI18" i="1"/>
  <c r="CU18" i="1" s="1"/>
  <c r="AZ19" i="1" s="1"/>
  <c r="CJ18" i="1"/>
  <c r="CV18" i="1" s="1"/>
  <c r="BA19" i="1" s="1"/>
  <c r="CR18" i="1"/>
  <c r="DD18" i="1" s="1"/>
  <c r="BI19" i="1" s="1"/>
  <c r="CM18" i="1"/>
  <c r="CY18" i="1" s="1"/>
  <c r="BD19" i="1" s="1"/>
  <c r="BO18" i="1"/>
  <c r="BQ18" i="1"/>
  <c r="AD19" i="1" s="1"/>
  <c r="AU19" i="1"/>
  <c r="CP18" i="1"/>
  <c r="DB18" i="1" s="1"/>
  <c r="BG19" i="1" s="1"/>
  <c r="EG16" i="1"/>
  <c r="EL16" i="1" s="1"/>
  <c r="EN16" i="1" s="1"/>
  <c r="EP16" i="1" s="1"/>
  <c r="ER16" i="1" s="1"/>
  <c r="BP16" i="1"/>
  <c r="R19" i="1" s="1"/>
  <c r="BN16" i="1"/>
  <c r="CO18" i="1"/>
  <c r="DA18" i="1" s="1"/>
  <c r="BF19" i="1" s="1"/>
  <c r="AV19" i="1"/>
  <c r="EH18" i="1"/>
  <c r="AC19" i="1"/>
  <c r="CS18" i="1"/>
  <c r="DE18" i="1" s="1"/>
  <c r="EI18" i="1"/>
  <c r="U21" i="1"/>
  <c r="DH20" i="1"/>
  <c r="AJ20" i="1"/>
  <c r="CK18" i="1"/>
  <c r="CW18" i="1" s="1"/>
  <c r="BB19" i="1" s="1"/>
  <c r="CQ18" i="1"/>
  <c r="DC18" i="1" s="1"/>
  <c r="BH19" i="1" s="1"/>
  <c r="CH18" i="1"/>
  <c r="CT18" i="1" s="1"/>
  <c r="AX18" i="1" s="1"/>
  <c r="AY19" i="1" s="1"/>
  <c r="CN18" i="1"/>
  <c r="CZ18" i="1" s="1"/>
  <c r="BE19" i="1" s="1"/>
  <c r="ED17" i="1" l="1"/>
  <c r="AS19" i="1"/>
  <c r="DQ19" i="1"/>
  <c r="EM18" i="1"/>
  <c r="EO18" i="1" s="1"/>
  <c r="EQ18" i="1" s="1"/>
  <c r="ES18" i="1" s="1"/>
  <c r="DF19" i="1"/>
  <c r="S20" i="1"/>
  <c r="AH19" i="1"/>
  <c r="CD19" i="1"/>
  <c r="CE19" i="1"/>
  <c r="CG19" i="1"/>
  <c r="DU19" i="1" s="1"/>
  <c r="CF19" i="1"/>
  <c r="AT19" i="1"/>
  <c r="DV18" i="1"/>
  <c r="DI21" i="1"/>
  <c r="AK21" i="1"/>
  <c r="V22" i="1"/>
  <c r="EE17" i="1" l="1"/>
  <c r="W23" i="1"/>
  <c r="DJ22" i="1"/>
  <c r="AL22" i="1"/>
  <c r="DG20" i="1"/>
  <c r="AI20" i="1"/>
  <c r="T21" i="1"/>
  <c r="DT19" i="1"/>
  <c r="AG20" i="1"/>
  <c r="AW20" i="1" s="1"/>
  <c r="DS19" i="1"/>
  <c r="AF20" i="1"/>
  <c r="AE20" i="1"/>
  <c r="DR19" i="1"/>
  <c r="DW18" i="1"/>
  <c r="BK19" i="1"/>
  <c r="BM19" i="1"/>
  <c r="EK19" i="1" s="1"/>
  <c r="BL19" i="1"/>
  <c r="BJ19" i="1"/>
  <c r="EF17" i="1" l="1"/>
  <c r="BQ19" i="1"/>
  <c r="AD20" i="1" s="1"/>
  <c r="AT20" i="1" s="1"/>
  <c r="CM19" i="1"/>
  <c r="CY19" i="1" s="1"/>
  <c r="BD20" i="1" s="1"/>
  <c r="CP19" i="1"/>
  <c r="DB19" i="1" s="1"/>
  <c r="BG20" i="1" s="1"/>
  <c r="CI19" i="1"/>
  <c r="CU19" i="1" s="1"/>
  <c r="AZ20" i="1" s="1"/>
  <c r="EI19" i="1"/>
  <c r="CN19" i="1"/>
  <c r="CZ19" i="1" s="1"/>
  <c r="BE20" i="1" s="1"/>
  <c r="CQ19" i="1"/>
  <c r="DC19" i="1" s="1"/>
  <c r="BH20" i="1" s="1"/>
  <c r="EJ19" i="1"/>
  <c r="CR19" i="1"/>
  <c r="DD19" i="1" s="1"/>
  <c r="BI20" i="1" s="1"/>
  <c r="CJ19" i="1"/>
  <c r="CV19" i="1" s="1"/>
  <c r="BA20" i="1" s="1"/>
  <c r="EH19" i="1"/>
  <c r="AC20" i="1"/>
  <c r="DK23" i="1"/>
  <c r="X24" i="1"/>
  <c r="AM23" i="1"/>
  <c r="CO19" i="1"/>
  <c r="DA19" i="1" s="1"/>
  <c r="BF20" i="1" s="1"/>
  <c r="CH19" i="1"/>
  <c r="CT19" i="1" s="1"/>
  <c r="AX19" i="1" s="1"/>
  <c r="AY20" i="1" s="1"/>
  <c r="BO19" i="1"/>
  <c r="CK19" i="1"/>
  <c r="CW19" i="1" s="1"/>
  <c r="BB20" i="1" s="1"/>
  <c r="AU20" i="1"/>
  <c r="DX18" i="1"/>
  <c r="CL19" i="1"/>
  <c r="CX19" i="1" s="1"/>
  <c r="BC20" i="1" s="1"/>
  <c r="AV20" i="1"/>
  <c r="U22" i="1"/>
  <c r="AJ21" i="1"/>
  <c r="DH21" i="1"/>
  <c r="CS19" i="1"/>
  <c r="DE19" i="1" s="1"/>
  <c r="EM19" i="1" l="1"/>
  <c r="EO19" i="1" s="1"/>
  <c r="EQ19" i="1" s="1"/>
  <c r="ES19" i="1" s="1"/>
  <c r="EG17" i="1"/>
  <c r="EL17" i="1" s="1"/>
  <c r="EN17" i="1" s="1"/>
  <c r="EP17" i="1" s="1"/>
  <c r="ER17" i="1" s="1"/>
  <c r="BP17" i="1"/>
  <c r="R20" i="1" s="1"/>
  <c r="CF20" i="1" s="1"/>
  <c r="BN17" i="1"/>
  <c r="Y25" i="1"/>
  <c r="AN24" i="1"/>
  <c r="DL24" i="1"/>
  <c r="V23" i="1"/>
  <c r="DI22" i="1"/>
  <c r="AK22" i="1"/>
  <c r="DY18" i="1"/>
  <c r="AS20" i="1"/>
  <c r="DQ20" i="1"/>
  <c r="DV19" i="1"/>
  <c r="CD20" i="1" l="1"/>
  <c r="DR20" i="1" s="1"/>
  <c r="AC21" i="1" s="1"/>
  <c r="S21" i="1"/>
  <c r="AH20" i="1"/>
  <c r="DF20" i="1"/>
  <c r="CG20" i="1"/>
  <c r="DU20" i="1" s="1"/>
  <c r="CE20" i="1"/>
  <c r="DZ18" i="1"/>
  <c r="AO25" i="1"/>
  <c r="Z26" i="1"/>
  <c r="DM25" i="1"/>
  <c r="DW19" i="1"/>
  <c r="DT20" i="1"/>
  <c r="DJ23" i="1"/>
  <c r="W24" i="1"/>
  <c r="AL23" i="1"/>
  <c r="AE21" i="1" l="1"/>
  <c r="AU21" i="1" s="1"/>
  <c r="AG21" i="1"/>
  <c r="AW21" i="1" s="1"/>
  <c r="AF21" i="1"/>
  <c r="AV21" i="1" s="1"/>
  <c r="DS20" i="1"/>
  <c r="T22" i="1"/>
  <c r="DG21" i="1"/>
  <c r="AI21" i="1"/>
  <c r="BJ20" i="1"/>
  <c r="BM20" i="1"/>
  <c r="EK20" i="1" s="1"/>
  <c r="BL20" i="1"/>
  <c r="EJ20" i="1" s="1"/>
  <c r="BK20" i="1"/>
  <c r="AP26" i="1"/>
  <c r="AA27" i="1"/>
  <c r="DN26" i="1"/>
  <c r="AS21" i="1"/>
  <c r="DQ21" i="1"/>
  <c r="DK24" i="1"/>
  <c r="X25" i="1"/>
  <c r="AM24" i="1"/>
  <c r="DX19" i="1"/>
  <c r="EA18" i="1"/>
  <c r="CP20" i="1" l="1"/>
  <c r="DB20" i="1" s="1"/>
  <c r="BG21" i="1" s="1"/>
  <c r="BO20" i="1"/>
  <c r="CO20" i="1"/>
  <c r="DA20" i="1" s="1"/>
  <c r="BF21" i="1" s="1"/>
  <c r="CL20" i="1"/>
  <c r="CX20" i="1" s="1"/>
  <c r="BC21" i="1" s="1"/>
  <c r="CH20" i="1"/>
  <c r="CT20" i="1" s="1"/>
  <c r="AX20" i="1" s="1"/>
  <c r="AY21" i="1" s="1"/>
  <c r="CR20" i="1"/>
  <c r="DD20" i="1" s="1"/>
  <c r="BI21" i="1" s="1"/>
  <c r="BQ20" i="1"/>
  <c r="AD21" i="1" s="1"/>
  <c r="AT21" i="1" s="1"/>
  <c r="CS20" i="1"/>
  <c r="DE20" i="1" s="1"/>
  <c r="EH20" i="1"/>
  <c r="CQ20" i="1"/>
  <c r="DC20" i="1" s="1"/>
  <c r="BH21" i="1" s="1"/>
  <c r="CI20" i="1"/>
  <c r="CU20" i="1" s="1"/>
  <c r="AZ21" i="1" s="1"/>
  <c r="CK20" i="1"/>
  <c r="CW20" i="1" s="1"/>
  <c r="BB21" i="1" s="1"/>
  <c r="CJ20" i="1"/>
  <c r="CV20" i="1" s="1"/>
  <c r="BA21" i="1" s="1"/>
  <c r="CM20" i="1"/>
  <c r="CY20" i="1" s="1"/>
  <c r="BD21" i="1" s="1"/>
  <c r="CN20" i="1"/>
  <c r="CZ20" i="1" s="1"/>
  <c r="BE21" i="1" s="1"/>
  <c r="DH22" i="1"/>
  <c r="U23" i="1"/>
  <c r="AJ22" i="1"/>
  <c r="EI20" i="1"/>
  <c r="DY19" i="1"/>
  <c r="AB28" i="1"/>
  <c r="AQ27" i="1"/>
  <c r="DO27" i="1"/>
  <c r="Y26" i="1"/>
  <c r="AN25" i="1"/>
  <c r="DL25" i="1"/>
  <c r="EB18" i="1"/>
  <c r="DV20" i="1" l="1"/>
  <c r="AK23" i="1"/>
  <c r="V24" i="1"/>
  <c r="DI23" i="1"/>
  <c r="EM20" i="1"/>
  <c r="EO20" i="1" s="1"/>
  <c r="EQ20" i="1" s="1"/>
  <c r="ES20" i="1" s="1"/>
  <c r="DM26" i="1"/>
  <c r="AO26" i="1"/>
  <c r="Z27" i="1"/>
  <c r="AR28" i="1"/>
  <c r="DP28" i="1"/>
  <c r="EC18" i="1"/>
  <c r="DZ19" i="1"/>
  <c r="W25" i="1" l="1"/>
  <c r="DJ24" i="1"/>
  <c r="AL24" i="1"/>
  <c r="DW20" i="1"/>
  <c r="ED18" i="1"/>
  <c r="DN27" i="1"/>
  <c r="AA28" i="1"/>
  <c r="AP27" i="1"/>
  <c r="EA19" i="1"/>
  <c r="DX20" i="1" l="1"/>
  <c r="DK25" i="1"/>
  <c r="AM25" i="1"/>
  <c r="X26" i="1"/>
  <c r="AQ28" i="1"/>
  <c r="DO28" i="1"/>
  <c r="AB29" i="1"/>
  <c r="EB19" i="1"/>
  <c r="EE18" i="1"/>
  <c r="DL26" i="1" l="1"/>
  <c r="AN26" i="1"/>
  <c r="Y27" i="1"/>
  <c r="DY20" i="1"/>
  <c r="EF18" i="1"/>
  <c r="EC19" i="1"/>
  <c r="DP29" i="1"/>
  <c r="AR29" i="1"/>
  <c r="AO27" i="1" l="1"/>
  <c r="Z28" i="1"/>
  <c r="DM27" i="1"/>
  <c r="DZ20" i="1"/>
  <c r="ED19" i="1"/>
  <c r="EG18" i="1"/>
  <c r="EL18" i="1" s="1"/>
  <c r="EN18" i="1" s="1"/>
  <c r="EP18" i="1" s="1"/>
  <c r="ER18" i="1" s="1"/>
  <c r="BN18" i="1"/>
  <c r="BP18" i="1"/>
  <c r="R21" i="1" s="1"/>
  <c r="EA20" i="1" l="1"/>
  <c r="AP28" i="1"/>
  <c r="DN28" i="1"/>
  <c r="AA29" i="1"/>
  <c r="AH21" i="1"/>
  <c r="DF21" i="1"/>
  <c r="S22" i="1"/>
  <c r="CF21" i="1"/>
  <c r="CE21" i="1"/>
  <c r="CD21" i="1"/>
  <c r="CG21" i="1"/>
  <c r="DU21" i="1" s="1"/>
  <c r="EE19" i="1"/>
  <c r="AB30" i="1" l="1"/>
  <c r="DO29" i="1"/>
  <c r="AQ29" i="1"/>
  <c r="EB20" i="1"/>
  <c r="DS21" i="1"/>
  <c r="AF22" i="1"/>
  <c r="DT21" i="1"/>
  <c r="AG22" i="1"/>
  <c r="AW22" i="1" s="1"/>
  <c r="T23" i="1"/>
  <c r="AI22" i="1"/>
  <c r="DG22" i="1"/>
  <c r="AE22" i="1"/>
  <c r="DR21" i="1"/>
  <c r="EF19" i="1"/>
  <c r="BK21" i="1"/>
  <c r="BL21" i="1"/>
  <c r="BM21" i="1"/>
  <c r="EK21" i="1" s="1"/>
  <c r="BJ21" i="1"/>
  <c r="EC20" i="1" l="1"/>
  <c r="DP30" i="1"/>
  <c r="AR30" i="1"/>
  <c r="CH21" i="1"/>
  <c r="CT21" i="1" s="1"/>
  <c r="CL21" i="1"/>
  <c r="CX21" i="1" s="1"/>
  <c r="BC22" i="1" s="1"/>
  <c r="CO21" i="1"/>
  <c r="DA21" i="1" s="1"/>
  <c r="BF22" i="1" s="1"/>
  <c r="BO21" i="1"/>
  <c r="BQ21" i="1"/>
  <c r="AD22" i="1" s="1"/>
  <c r="EG19" i="1"/>
  <c r="EL19" i="1" s="1"/>
  <c r="EN19" i="1" s="1"/>
  <c r="EP19" i="1" s="1"/>
  <c r="ER19" i="1" s="1"/>
  <c r="BN19" i="1"/>
  <c r="BP19" i="1"/>
  <c r="R22" i="1" s="1"/>
  <c r="CQ21" i="1"/>
  <c r="DC21" i="1" s="1"/>
  <c r="BH22" i="1" s="1"/>
  <c r="CS21" i="1"/>
  <c r="DE21" i="1" s="1"/>
  <c r="CM21" i="1"/>
  <c r="CY21" i="1" s="1"/>
  <c r="BD22" i="1" s="1"/>
  <c r="DH23" i="1"/>
  <c r="AJ23" i="1"/>
  <c r="U24" i="1"/>
  <c r="CI21" i="1"/>
  <c r="CU21" i="1" s="1"/>
  <c r="AZ22" i="1" s="1"/>
  <c r="CR21" i="1"/>
  <c r="DD21" i="1" s="1"/>
  <c r="BI22" i="1" s="1"/>
  <c r="CJ21" i="1"/>
  <c r="CV21" i="1" s="1"/>
  <c r="BA22" i="1" s="1"/>
  <c r="CN21" i="1"/>
  <c r="CZ21" i="1" s="1"/>
  <c r="BE22" i="1" s="1"/>
  <c r="EJ21" i="1"/>
  <c r="CK21" i="1"/>
  <c r="CW21" i="1" s="1"/>
  <c r="BB22" i="1" s="1"/>
  <c r="AC22" i="1"/>
  <c r="EH21" i="1"/>
  <c r="AV22" i="1"/>
  <c r="CP21" i="1"/>
  <c r="DB21" i="1" s="1"/>
  <c r="BG22" i="1" s="1"/>
  <c r="AU22" i="1"/>
  <c r="EI21" i="1"/>
  <c r="AX21" i="1" l="1"/>
  <c r="AY22" i="1" s="1"/>
  <c r="ED20" i="1"/>
  <c r="EM21" i="1"/>
  <c r="EO21" i="1" s="1"/>
  <c r="EQ21" i="1" s="1"/>
  <c r="ES21" i="1" s="1"/>
  <c r="DW21" i="1"/>
  <c r="DQ22" i="1"/>
  <c r="AS22" i="1"/>
  <c r="V25" i="1"/>
  <c r="AK24" i="1"/>
  <c r="DI24" i="1"/>
  <c r="AT22" i="1"/>
  <c r="S23" i="1"/>
  <c r="DF22" i="1"/>
  <c r="AH22" i="1"/>
  <c r="CD22" i="1"/>
  <c r="CG22" i="1"/>
  <c r="DU22" i="1" s="1"/>
  <c r="CE22" i="1"/>
  <c r="CF22" i="1"/>
  <c r="DV21" i="1" l="1"/>
  <c r="EE20" i="1"/>
  <c r="DS22" i="1"/>
  <c r="AF23" i="1"/>
  <c r="DR22" i="1"/>
  <c r="AE23" i="1"/>
  <c r="W26" i="1"/>
  <c r="AL25" i="1"/>
  <c r="DJ25" i="1"/>
  <c r="DT22" i="1"/>
  <c r="AG23" i="1"/>
  <c r="AW23" i="1" s="1"/>
  <c r="BK22" i="1"/>
  <c r="BJ22" i="1"/>
  <c r="BL22" i="1"/>
  <c r="BM22" i="1"/>
  <c r="EK22" i="1" s="1"/>
  <c r="AI23" i="1"/>
  <c r="DG23" i="1"/>
  <c r="T24" i="1"/>
  <c r="DX21" i="1"/>
  <c r="CK22" i="1" l="1"/>
  <c r="CW22" i="1" s="1"/>
  <c r="BB23" i="1" s="1"/>
  <c r="EF20" i="1"/>
  <c r="CH22" i="1"/>
  <c r="CT22" i="1" s="1"/>
  <c r="CO22" i="1"/>
  <c r="DA22" i="1" s="1"/>
  <c r="BF23" i="1" s="1"/>
  <c r="EJ22" i="1"/>
  <c r="X27" i="1"/>
  <c r="AM26" i="1"/>
  <c r="DK26" i="1"/>
  <c r="CN22" i="1"/>
  <c r="CZ22" i="1" s="1"/>
  <c r="BE23" i="1" s="1"/>
  <c r="AU23" i="1"/>
  <c r="CR22" i="1"/>
  <c r="DD22" i="1" s="1"/>
  <c r="BI23" i="1" s="1"/>
  <c r="CI22" i="1"/>
  <c r="CU22" i="1" s="1"/>
  <c r="AZ23" i="1" s="1"/>
  <c r="CQ22" i="1"/>
  <c r="DC22" i="1" s="1"/>
  <c r="BH23" i="1" s="1"/>
  <c r="DY21" i="1"/>
  <c r="CJ22" i="1"/>
  <c r="CV22" i="1" s="1"/>
  <c r="BA23" i="1" s="1"/>
  <c r="EH22" i="1"/>
  <c r="AC23" i="1"/>
  <c r="BQ22" i="1"/>
  <c r="AD23" i="1" s="1"/>
  <c r="AV23" i="1"/>
  <c r="CM22" i="1"/>
  <c r="CY22" i="1" s="1"/>
  <c r="BD23" i="1" s="1"/>
  <c r="BO22" i="1"/>
  <c r="CL22" i="1"/>
  <c r="CX22" i="1" s="1"/>
  <c r="BC23" i="1" s="1"/>
  <c r="EI22" i="1"/>
  <c r="U25" i="1"/>
  <c r="AJ24" i="1"/>
  <c r="DH24" i="1"/>
  <c r="CP22" i="1"/>
  <c r="DB22" i="1" s="1"/>
  <c r="BG23" i="1" s="1"/>
  <c r="CS22" i="1"/>
  <c r="DE22" i="1" s="1"/>
  <c r="AX22" i="1" l="1"/>
  <c r="AY23" i="1" s="1"/>
  <c r="BP20" i="1"/>
  <c r="R23" i="1" s="1"/>
  <c r="CD23" i="1" s="1"/>
  <c r="AE24" i="1" s="1"/>
  <c r="EG20" i="1"/>
  <c r="EL20" i="1" s="1"/>
  <c r="EN20" i="1" s="1"/>
  <c r="EP20" i="1" s="1"/>
  <c r="ER20" i="1" s="1"/>
  <c r="BN20" i="1"/>
  <c r="EM22" i="1"/>
  <c r="EO22" i="1" s="1"/>
  <c r="EQ22" i="1" s="1"/>
  <c r="ES22" i="1" s="1"/>
  <c r="AK25" i="1"/>
  <c r="V26" i="1"/>
  <c r="DI25" i="1"/>
  <c r="DZ21" i="1"/>
  <c r="AT23" i="1"/>
  <c r="DQ23" i="1"/>
  <c r="AS23" i="1"/>
  <c r="AN27" i="1"/>
  <c r="Y28" i="1"/>
  <c r="DL27" i="1"/>
  <c r="CF23" i="1" l="1"/>
  <c r="DT23" i="1" s="1"/>
  <c r="CE23" i="1"/>
  <c r="DS23" i="1" s="1"/>
  <c r="DW22" i="1"/>
  <c r="DV22" i="1"/>
  <c r="S24" i="1"/>
  <c r="DF23" i="1"/>
  <c r="AH23" i="1"/>
  <c r="BK23" i="1" s="1"/>
  <c r="CG23" i="1"/>
  <c r="DU23" i="1" s="1"/>
  <c r="DR23" i="1"/>
  <c r="EA21" i="1"/>
  <c r="AU24" i="1"/>
  <c r="DM28" i="1"/>
  <c r="AO28" i="1"/>
  <c r="Z29" i="1"/>
  <c r="DJ26" i="1"/>
  <c r="W27" i="1"/>
  <c r="AL26" i="1"/>
  <c r="DX22" i="1"/>
  <c r="EI23" i="1" l="1"/>
  <c r="AF24" i="1"/>
  <c r="AV24" i="1" s="1"/>
  <c r="BL23" i="1"/>
  <c r="EJ23" i="1" s="1"/>
  <c r="AG24" i="1"/>
  <c r="AW24" i="1" s="1"/>
  <c r="AI24" i="1"/>
  <c r="DG24" i="1"/>
  <c r="T25" i="1"/>
  <c r="BJ23" i="1"/>
  <c r="BM23" i="1"/>
  <c r="EK23" i="1" s="1"/>
  <c r="AC24" i="1"/>
  <c r="AS24" i="1" s="1"/>
  <c r="AA30" i="1"/>
  <c r="AP29" i="1"/>
  <c r="DN29" i="1"/>
  <c r="X28" i="1"/>
  <c r="AM27" i="1"/>
  <c r="DK27" i="1"/>
  <c r="DY22" i="1"/>
  <c r="EB21" i="1"/>
  <c r="CQ23" i="1" l="1"/>
  <c r="DC23" i="1" s="1"/>
  <c r="BH24" i="1" s="1"/>
  <c r="DQ24" i="1"/>
  <c r="CM23" i="1"/>
  <c r="CY23" i="1" s="1"/>
  <c r="BD24" i="1" s="1"/>
  <c r="CP23" i="1"/>
  <c r="DB23" i="1" s="1"/>
  <c r="BG24" i="1" s="1"/>
  <c r="CS23" i="1"/>
  <c r="DE23" i="1" s="1"/>
  <c r="CL23" i="1"/>
  <c r="CX23" i="1" s="1"/>
  <c r="BC24" i="1" s="1"/>
  <c r="CO23" i="1"/>
  <c r="DA23" i="1" s="1"/>
  <c r="BF24" i="1" s="1"/>
  <c r="CK23" i="1"/>
  <c r="CW23" i="1" s="1"/>
  <c r="BB24" i="1" s="1"/>
  <c r="BQ23" i="1"/>
  <c r="AD24" i="1" s="1"/>
  <c r="AT24" i="1" s="1"/>
  <c r="CR23" i="1"/>
  <c r="DD23" i="1" s="1"/>
  <c r="BI24" i="1" s="1"/>
  <c r="CH23" i="1"/>
  <c r="CT23" i="1" s="1"/>
  <c r="CI23" i="1"/>
  <c r="CU23" i="1" s="1"/>
  <c r="AZ24" i="1" s="1"/>
  <c r="AJ25" i="1"/>
  <c r="DH25" i="1"/>
  <c r="U26" i="1"/>
  <c r="BO23" i="1"/>
  <c r="CJ23" i="1"/>
  <c r="CV23" i="1" s="1"/>
  <c r="BA24" i="1" s="1"/>
  <c r="CN23" i="1"/>
  <c r="CZ23" i="1" s="1"/>
  <c r="BE24" i="1" s="1"/>
  <c r="EH23" i="1"/>
  <c r="EM23" i="1" s="1"/>
  <c r="EO23" i="1" s="1"/>
  <c r="EQ23" i="1" s="1"/>
  <c r="ES23" i="1" s="1"/>
  <c r="EC21" i="1"/>
  <c r="AN28" i="1"/>
  <c r="Y29" i="1"/>
  <c r="DL28" i="1"/>
  <c r="DZ22" i="1"/>
  <c r="AB31" i="1"/>
  <c r="AQ30" i="1"/>
  <c r="DO30" i="1"/>
  <c r="AX23" i="1" l="1"/>
  <c r="AY24" i="1" s="1"/>
  <c r="AK26" i="1"/>
  <c r="DI26" i="1"/>
  <c r="V27" i="1"/>
  <c r="DW23" i="1"/>
  <c r="ED21" i="1"/>
  <c r="DP31" i="1"/>
  <c r="AR31" i="1"/>
  <c r="EA22" i="1"/>
  <c r="AO29" i="1"/>
  <c r="Z30" i="1"/>
  <c r="DM29" i="1"/>
  <c r="DX23" i="1" l="1"/>
  <c r="DV23" i="1"/>
  <c r="W28" i="1"/>
  <c r="DJ27" i="1"/>
  <c r="AL27" i="1"/>
  <c r="EB22" i="1"/>
  <c r="DY23" i="1"/>
  <c r="AA31" i="1"/>
  <c r="DN30" i="1"/>
  <c r="AP30" i="1"/>
  <c r="EE21" i="1"/>
  <c r="DK28" i="1" l="1"/>
  <c r="X29" i="1"/>
  <c r="AM28" i="1"/>
  <c r="AB32" i="1"/>
  <c r="AQ31" i="1"/>
  <c r="DO31" i="1"/>
  <c r="DZ23" i="1"/>
  <c r="EF21" i="1"/>
  <c r="EC22" i="1"/>
  <c r="AN29" i="1" l="1"/>
  <c r="Y30" i="1"/>
  <c r="DL29" i="1"/>
  <c r="EG21" i="1"/>
  <c r="EL21" i="1" s="1"/>
  <c r="EN21" i="1" s="1"/>
  <c r="EP21" i="1" s="1"/>
  <c r="ER21" i="1" s="1"/>
  <c r="BP21" i="1"/>
  <c r="R24" i="1" s="1"/>
  <c r="BN21" i="1"/>
  <c r="EA23" i="1"/>
  <c r="ED22" i="1"/>
  <c r="AR32" i="1"/>
  <c r="DP32" i="1"/>
  <c r="DM30" i="1" l="1"/>
  <c r="AO30" i="1"/>
  <c r="Z31" i="1"/>
  <c r="EB23" i="1"/>
  <c r="S25" i="1"/>
  <c r="DF24" i="1"/>
  <c r="AH24" i="1"/>
  <c r="CD24" i="1"/>
  <c r="CE24" i="1"/>
  <c r="CG24" i="1"/>
  <c r="DU24" i="1" s="1"/>
  <c r="CF24" i="1"/>
  <c r="EE22" i="1"/>
  <c r="DN31" i="1" l="1"/>
  <c r="AP31" i="1"/>
  <c r="AA32" i="1"/>
  <c r="DS24" i="1"/>
  <c r="AF25" i="1"/>
  <c r="DR24" i="1"/>
  <c r="AE25" i="1"/>
  <c r="EF22" i="1"/>
  <c r="BJ24" i="1"/>
  <c r="BK24" i="1"/>
  <c r="BM24" i="1"/>
  <c r="EK24" i="1" s="1"/>
  <c r="BL24" i="1"/>
  <c r="AI25" i="1"/>
  <c r="DG25" i="1"/>
  <c r="T26" i="1"/>
  <c r="DT24" i="1"/>
  <c r="AG25" i="1"/>
  <c r="AW25" i="1" s="1"/>
  <c r="EC23" i="1"/>
  <c r="EJ24" i="1" l="1"/>
  <c r="AB33" i="1"/>
  <c r="AQ32" i="1"/>
  <c r="DO32" i="1"/>
  <c r="CK24" i="1"/>
  <c r="CW24" i="1" s="1"/>
  <c r="BB25" i="1" s="1"/>
  <c r="EG22" i="1"/>
  <c r="EL22" i="1" s="1"/>
  <c r="EN22" i="1" s="1"/>
  <c r="EP22" i="1" s="1"/>
  <c r="ER22" i="1" s="1"/>
  <c r="BP22" i="1"/>
  <c r="R25" i="1" s="1"/>
  <c r="BN22" i="1"/>
  <c r="CO24" i="1"/>
  <c r="DA24" i="1" s="1"/>
  <c r="BF25" i="1" s="1"/>
  <c r="ED23" i="1"/>
  <c r="AU25" i="1"/>
  <c r="CL24" i="1"/>
  <c r="CX24" i="1" s="1"/>
  <c r="BC25" i="1" s="1"/>
  <c r="CS24" i="1"/>
  <c r="DE24" i="1" s="1"/>
  <c r="CQ24" i="1"/>
  <c r="DC24" i="1" s="1"/>
  <c r="BH25" i="1" s="1"/>
  <c r="CI24" i="1"/>
  <c r="CU24" i="1" s="1"/>
  <c r="AZ25" i="1" s="1"/>
  <c r="CR24" i="1"/>
  <c r="DD24" i="1" s="1"/>
  <c r="BI25" i="1" s="1"/>
  <c r="CJ24" i="1"/>
  <c r="CV24" i="1" s="1"/>
  <c r="BA25" i="1" s="1"/>
  <c r="CN24" i="1"/>
  <c r="CZ24" i="1" s="1"/>
  <c r="BE25" i="1" s="1"/>
  <c r="AC25" i="1"/>
  <c r="EH24" i="1"/>
  <c r="CH24" i="1"/>
  <c r="CT24" i="1" s="1"/>
  <c r="AX24" i="1" s="1"/>
  <c r="AY25" i="1" s="1"/>
  <c r="BO24" i="1"/>
  <c r="BQ24" i="1"/>
  <c r="AD25" i="1" s="1"/>
  <c r="CM24" i="1"/>
  <c r="CY24" i="1" s="1"/>
  <c r="BD25" i="1" s="1"/>
  <c r="AV25" i="1"/>
  <c r="AJ26" i="1"/>
  <c r="DH26" i="1"/>
  <c r="U27" i="1"/>
  <c r="CP24" i="1"/>
  <c r="DB24" i="1" s="1"/>
  <c r="BG25" i="1" s="1"/>
  <c r="EI24" i="1"/>
  <c r="DP33" i="1" l="1"/>
  <c r="AR33" i="1"/>
  <c r="EE23" i="1"/>
  <c r="AT25" i="1"/>
  <c r="DV24" i="1"/>
  <c r="DF25" i="1"/>
  <c r="S26" i="1"/>
  <c r="AH25" i="1"/>
  <c r="CD25" i="1"/>
  <c r="CG25" i="1"/>
  <c r="DU25" i="1" s="1"/>
  <c r="CE25" i="1"/>
  <c r="CF25" i="1"/>
  <c r="AK27" i="1"/>
  <c r="V28" i="1"/>
  <c r="DI27" i="1"/>
  <c r="EM24" i="1"/>
  <c r="EO24" i="1" s="1"/>
  <c r="EQ24" i="1" s="1"/>
  <c r="ES24" i="1" s="1"/>
  <c r="AS25" i="1"/>
  <c r="DQ25" i="1"/>
  <c r="DT25" i="1" l="1"/>
  <c r="AG26" i="1"/>
  <c r="AW26" i="1" s="1"/>
  <c r="DS25" i="1"/>
  <c r="AF26" i="1"/>
  <c r="DW24" i="1"/>
  <c r="DR25" i="1"/>
  <c r="BM25" i="1"/>
  <c r="EK25" i="1" s="1"/>
  <c r="BK25" i="1"/>
  <c r="BJ25" i="1"/>
  <c r="BL25" i="1"/>
  <c r="AE26" i="1"/>
  <c r="AL28" i="1"/>
  <c r="W29" i="1"/>
  <c r="DJ28" i="1"/>
  <c r="AI26" i="1"/>
  <c r="T27" i="1"/>
  <c r="DG26" i="1"/>
  <c r="EF23" i="1"/>
  <c r="CH25" i="1" l="1"/>
  <c r="CT25" i="1" s="1"/>
  <c r="AX25" i="1" s="1"/>
  <c r="AY26" i="1" s="1"/>
  <c r="CO25" i="1"/>
  <c r="DA25" i="1" s="1"/>
  <c r="BF26" i="1" s="1"/>
  <c r="CP25" i="1"/>
  <c r="DB25" i="1" s="1"/>
  <c r="BG26" i="1" s="1"/>
  <c r="CQ25" i="1"/>
  <c r="DC25" i="1" s="1"/>
  <c r="BH26" i="1" s="1"/>
  <c r="CI25" i="1"/>
  <c r="CU25" i="1" s="1"/>
  <c r="AZ26" i="1" s="1"/>
  <c r="BQ25" i="1"/>
  <c r="AD26" i="1" s="1"/>
  <c r="AT26" i="1" s="1"/>
  <c r="CJ25" i="1"/>
  <c r="CV25" i="1" s="1"/>
  <c r="BA26" i="1" s="1"/>
  <c r="DH27" i="1"/>
  <c r="U28" i="1"/>
  <c r="AJ27" i="1"/>
  <c r="EH25" i="1"/>
  <c r="AC26" i="1"/>
  <c r="AU26" i="1"/>
  <c r="CK25" i="1"/>
  <c r="CW25" i="1" s="1"/>
  <c r="BB26" i="1" s="1"/>
  <c r="DX24" i="1"/>
  <c r="X30" i="1"/>
  <c r="DK29" i="1"/>
  <c r="AM29" i="1"/>
  <c r="EG23" i="1"/>
  <c r="EL23" i="1" s="1"/>
  <c r="EN23" i="1" s="1"/>
  <c r="EP23" i="1" s="1"/>
  <c r="ER23" i="1" s="1"/>
  <c r="BN23" i="1"/>
  <c r="BP23" i="1"/>
  <c r="R26" i="1" s="1"/>
  <c r="CS25" i="1"/>
  <c r="DE25" i="1" s="1"/>
  <c r="CL25" i="1"/>
  <c r="CX25" i="1" s="1"/>
  <c r="BC26" i="1" s="1"/>
  <c r="BO25" i="1"/>
  <c r="CM25" i="1"/>
  <c r="CY25" i="1" s="1"/>
  <c r="BD26" i="1" s="1"/>
  <c r="AV26" i="1"/>
  <c r="CR25" i="1"/>
  <c r="DD25" i="1" s="1"/>
  <c r="BI26" i="1" s="1"/>
  <c r="EI25" i="1"/>
  <c r="CN25" i="1"/>
  <c r="CZ25" i="1" s="1"/>
  <c r="BE26" i="1" s="1"/>
  <c r="EJ25" i="1"/>
  <c r="DV25" i="1" l="1"/>
  <c r="DQ26" i="1"/>
  <c r="AS26" i="1"/>
  <c r="EM25" i="1"/>
  <c r="EO25" i="1" s="1"/>
  <c r="EQ25" i="1" s="1"/>
  <c r="ES25" i="1" s="1"/>
  <c r="CG26" i="1"/>
  <c r="DU26" i="1" s="1"/>
  <c r="AH26" i="1"/>
  <c r="S27" i="1"/>
  <c r="DF26" i="1"/>
  <c r="CF26" i="1"/>
  <c r="CE26" i="1"/>
  <c r="CD26" i="1"/>
  <c r="AN30" i="1"/>
  <c r="DL30" i="1"/>
  <c r="Y31" i="1"/>
  <c r="DY24" i="1"/>
  <c r="DI28" i="1"/>
  <c r="AK28" i="1"/>
  <c r="V29" i="1"/>
  <c r="DW25" i="1"/>
  <c r="DT26" i="1" l="1"/>
  <c r="AG27" i="1"/>
  <c r="AW27" i="1" s="1"/>
  <c r="DZ24" i="1"/>
  <c r="DX25" i="1"/>
  <c r="Z32" i="1"/>
  <c r="DM31" i="1"/>
  <c r="AO31" i="1"/>
  <c r="T28" i="1"/>
  <c r="AI27" i="1"/>
  <c r="DG27" i="1"/>
  <c r="BJ26" i="1"/>
  <c r="BK26" i="1"/>
  <c r="BL26" i="1"/>
  <c r="BM26" i="1"/>
  <c r="EK26" i="1" s="1"/>
  <c r="DJ29" i="1"/>
  <c r="W30" i="1"/>
  <c r="AL29" i="1"/>
  <c r="DR26" i="1"/>
  <c r="AE27" i="1"/>
  <c r="DS26" i="1"/>
  <c r="AF27" i="1"/>
  <c r="CI26" i="1" l="1"/>
  <c r="CU26" i="1" s="1"/>
  <c r="AZ27" i="1" s="1"/>
  <c r="CL26" i="1"/>
  <c r="CX26" i="1" s="1"/>
  <c r="BC27" i="1" s="1"/>
  <c r="EI26" i="1"/>
  <c r="CO26" i="1"/>
  <c r="DA26" i="1" s="1"/>
  <c r="BF27" i="1" s="1"/>
  <c r="CJ26" i="1"/>
  <c r="CV26" i="1" s="1"/>
  <c r="BA27" i="1" s="1"/>
  <c r="CR26" i="1"/>
  <c r="DD26" i="1" s="1"/>
  <c r="BI27" i="1" s="1"/>
  <c r="CQ26" i="1"/>
  <c r="DC26" i="1" s="1"/>
  <c r="BH27" i="1" s="1"/>
  <c r="CP26" i="1"/>
  <c r="DB26" i="1" s="1"/>
  <c r="BG27" i="1" s="1"/>
  <c r="CM26" i="1"/>
  <c r="CY26" i="1" s="1"/>
  <c r="BD27" i="1" s="1"/>
  <c r="CK26" i="1"/>
  <c r="CW26" i="1" s="1"/>
  <c r="BB27" i="1" s="1"/>
  <c r="CN26" i="1"/>
  <c r="CZ26" i="1" s="1"/>
  <c r="BE27" i="1" s="1"/>
  <c r="AU27" i="1"/>
  <c r="DH28" i="1"/>
  <c r="U29" i="1"/>
  <c r="AJ28" i="1"/>
  <c r="DY25" i="1"/>
  <c r="EH26" i="1"/>
  <c r="AC27" i="1"/>
  <c r="CS26" i="1"/>
  <c r="DE26" i="1" s="1"/>
  <c r="BO26" i="1"/>
  <c r="CH26" i="1"/>
  <c r="CT26" i="1" s="1"/>
  <c r="AX26" i="1" s="1"/>
  <c r="AY27" i="1" s="1"/>
  <c r="BQ26" i="1"/>
  <c r="AD27" i="1" s="1"/>
  <c r="DN32" i="1"/>
  <c r="AP32" i="1"/>
  <c r="AA33" i="1"/>
  <c r="EA24" i="1"/>
  <c r="AV27" i="1"/>
  <c r="AM30" i="1"/>
  <c r="DK30" i="1"/>
  <c r="X31" i="1"/>
  <c r="EJ26" i="1"/>
  <c r="DZ25" i="1" l="1"/>
  <c r="AT27" i="1"/>
  <c r="DV26" i="1"/>
  <c r="DI29" i="1"/>
  <c r="V30" i="1"/>
  <c r="AK29" i="1"/>
  <c r="EB24" i="1"/>
  <c r="DQ27" i="1"/>
  <c r="AS27" i="1"/>
  <c r="DL31" i="1"/>
  <c r="AN31" i="1"/>
  <c r="Y32" i="1"/>
  <c r="DO33" i="1"/>
  <c r="AQ33" i="1"/>
  <c r="AB34" i="1"/>
  <c r="EM26" i="1"/>
  <c r="EO26" i="1" s="1"/>
  <c r="EQ26" i="1" s="1"/>
  <c r="ES26" i="1" s="1"/>
  <c r="EC24" i="1" l="1"/>
  <c r="DW26" i="1"/>
  <c r="AO32" i="1"/>
  <c r="Z33" i="1"/>
  <c r="DM32" i="1"/>
  <c r="AR34" i="1"/>
  <c r="DP34" i="1"/>
  <c r="W31" i="1"/>
  <c r="AL30" i="1"/>
  <c r="DJ30" i="1"/>
  <c r="EA25" i="1"/>
  <c r="DN33" i="1" l="1"/>
  <c r="AA34" i="1"/>
  <c r="AP33" i="1"/>
  <c r="EB25" i="1"/>
  <c r="X32" i="1"/>
  <c r="AM31" i="1"/>
  <c r="DK31" i="1"/>
  <c r="DX26" i="1"/>
  <c r="ED24" i="1"/>
  <c r="DL32" i="1" l="1"/>
  <c r="AN32" i="1"/>
  <c r="Y33" i="1"/>
  <c r="EE24" i="1"/>
  <c r="EC25" i="1"/>
  <c r="DY26" i="1"/>
  <c r="AQ34" i="1"/>
  <c r="DO34" i="1"/>
  <c r="AB35" i="1"/>
  <c r="AR35" i="1" l="1"/>
  <c r="DP35" i="1"/>
  <c r="ED25" i="1"/>
  <c r="EF24" i="1"/>
  <c r="DM33" i="1"/>
  <c r="Z34" i="1"/>
  <c r="AO33" i="1"/>
  <c r="DZ26" i="1"/>
  <c r="DN34" i="1" l="1"/>
  <c r="AA35" i="1"/>
  <c r="AP34" i="1"/>
  <c r="EG24" i="1"/>
  <c r="EL24" i="1" s="1"/>
  <c r="EN24" i="1" s="1"/>
  <c r="EP24" i="1" s="1"/>
  <c r="ER24" i="1" s="1"/>
  <c r="BP24" i="1"/>
  <c r="R27" i="1" s="1"/>
  <c r="BN24" i="1"/>
  <c r="EE25" i="1"/>
  <c r="EA26" i="1"/>
  <c r="EF25" i="1" l="1"/>
  <c r="CE27" i="1"/>
  <c r="CD27" i="1"/>
  <c r="CF27" i="1"/>
  <c r="S28" i="1"/>
  <c r="DF27" i="1"/>
  <c r="AH27" i="1"/>
  <c r="CG27" i="1"/>
  <c r="DU27" i="1" s="1"/>
  <c r="DO35" i="1"/>
  <c r="AQ35" i="1"/>
  <c r="AB36" i="1"/>
  <c r="EB26" i="1"/>
  <c r="BL27" i="1" l="1"/>
  <c r="BJ27" i="1"/>
  <c r="BK27" i="1"/>
  <c r="BM27" i="1"/>
  <c r="EK27" i="1" s="1"/>
  <c r="DT27" i="1"/>
  <c r="AG28" i="1"/>
  <c r="AW28" i="1" s="1"/>
  <c r="EC26" i="1"/>
  <c r="DR27" i="1"/>
  <c r="AE28" i="1"/>
  <c r="AR36" i="1"/>
  <c r="DP36" i="1"/>
  <c r="DS27" i="1"/>
  <c r="AF28" i="1"/>
  <c r="DG28" i="1"/>
  <c r="AI28" i="1"/>
  <c r="T29" i="1"/>
  <c r="EG25" i="1"/>
  <c r="EL25" i="1" s="1"/>
  <c r="EN25" i="1" s="1"/>
  <c r="EP25" i="1" s="1"/>
  <c r="ER25" i="1" s="1"/>
  <c r="BN25" i="1"/>
  <c r="BP25" i="1"/>
  <c r="R28" i="1" s="1"/>
  <c r="CH27" i="1" l="1"/>
  <c r="CT27" i="1" s="1"/>
  <c r="AX27" i="1" s="1"/>
  <c r="AY28" i="1" s="1"/>
  <c r="EI27" i="1"/>
  <c r="CP27" i="1"/>
  <c r="DB27" i="1" s="1"/>
  <c r="BG28" i="1" s="1"/>
  <c r="CS27" i="1"/>
  <c r="DE27" i="1" s="1"/>
  <c r="CJ27" i="1"/>
  <c r="CV27" i="1" s="1"/>
  <c r="BA28" i="1" s="1"/>
  <c r="EJ27" i="1"/>
  <c r="CK27" i="1"/>
  <c r="CW27" i="1" s="1"/>
  <c r="BB28" i="1" s="1"/>
  <c r="CL27" i="1"/>
  <c r="CX27" i="1" s="1"/>
  <c r="BC28" i="1" s="1"/>
  <c r="CM27" i="1"/>
  <c r="CY27" i="1" s="1"/>
  <c r="BD28" i="1" s="1"/>
  <c r="CQ27" i="1"/>
  <c r="DC27" i="1" s="1"/>
  <c r="BH28" i="1" s="1"/>
  <c r="CN27" i="1"/>
  <c r="CZ27" i="1" s="1"/>
  <c r="BE28" i="1" s="1"/>
  <c r="CR27" i="1"/>
  <c r="DD27" i="1" s="1"/>
  <c r="BI28" i="1" s="1"/>
  <c r="CO27" i="1"/>
  <c r="DA27" i="1" s="1"/>
  <c r="BF28" i="1" s="1"/>
  <c r="CI27" i="1"/>
  <c r="CU27" i="1" s="1"/>
  <c r="AZ28" i="1" s="1"/>
  <c r="AJ29" i="1"/>
  <c r="DH29" i="1"/>
  <c r="U30" i="1"/>
  <c r="AU28" i="1"/>
  <c r="AV28" i="1"/>
  <c r="EH27" i="1"/>
  <c r="AC28" i="1"/>
  <c r="CE28" i="1" s="1"/>
  <c r="DS28" i="1" s="1"/>
  <c r="BO27" i="1"/>
  <c r="BQ27" i="1"/>
  <c r="AD28" i="1" s="1"/>
  <c r="AH28" i="1"/>
  <c r="S29" i="1"/>
  <c r="DF28" i="1"/>
  <c r="ED26" i="1"/>
  <c r="EM27" i="1" l="1"/>
  <c r="EO27" i="1" s="1"/>
  <c r="EQ27" i="1" s="1"/>
  <c r="ES27" i="1" s="1"/>
  <c r="DV27" i="1"/>
  <c r="CG28" i="1"/>
  <c r="DU28" i="1" s="1"/>
  <c r="CD28" i="1"/>
  <c r="DR28" i="1" s="1"/>
  <c r="CF28" i="1"/>
  <c r="DT28" i="1" s="1"/>
  <c r="AS28" i="1"/>
  <c r="DQ28" i="1"/>
  <c r="AF29" i="1"/>
  <c r="V31" i="1"/>
  <c r="DI30" i="1"/>
  <c r="AK30" i="1"/>
  <c r="DG29" i="1"/>
  <c r="AI29" i="1"/>
  <c r="T30" i="1"/>
  <c r="EE26" i="1"/>
  <c r="AT28" i="1"/>
  <c r="BM28" i="1" s="1"/>
  <c r="DW27" i="1"/>
  <c r="EK28" i="1" l="1"/>
  <c r="AE29" i="1"/>
  <c r="AU29" i="1" s="1"/>
  <c r="AG29" i="1"/>
  <c r="AW29" i="1" s="1"/>
  <c r="BK28" i="1"/>
  <c r="EI28" i="1" s="1"/>
  <c r="BL28" i="1"/>
  <c r="EJ28" i="1" s="1"/>
  <c r="BJ28" i="1"/>
  <c r="U31" i="1"/>
  <c r="AJ30" i="1"/>
  <c r="DH30" i="1"/>
  <c r="AC29" i="1"/>
  <c r="DX27" i="1"/>
  <c r="EF26" i="1"/>
  <c r="AV29" i="1"/>
  <c r="W32" i="1"/>
  <c r="AL31" i="1"/>
  <c r="DJ31" i="1"/>
  <c r="CO28" i="1" l="1"/>
  <c r="DA28" i="1" s="1"/>
  <c r="BF29" i="1" s="1"/>
  <c r="BQ28" i="1"/>
  <c r="AD29" i="1" s="1"/>
  <c r="AT29" i="1" s="1"/>
  <c r="CK28" i="1"/>
  <c r="CW28" i="1" s="1"/>
  <c r="BB29" i="1" s="1"/>
  <c r="CR28" i="1"/>
  <c r="DD28" i="1" s="1"/>
  <c r="BI29" i="1" s="1"/>
  <c r="CQ28" i="1"/>
  <c r="DC28" i="1" s="1"/>
  <c r="BH29" i="1" s="1"/>
  <c r="CL28" i="1"/>
  <c r="CX28" i="1" s="1"/>
  <c r="BC29" i="1" s="1"/>
  <c r="CM28" i="1"/>
  <c r="CY28" i="1" s="1"/>
  <c r="BD29" i="1" s="1"/>
  <c r="CH28" i="1"/>
  <c r="CT28" i="1" s="1"/>
  <c r="CJ28" i="1"/>
  <c r="CV28" i="1" s="1"/>
  <c r="BA29" i="1" s="1"/>
  <c r="BO28" i="1"/>
  <c r="CN28" i="1"/>
  <c r="CZ28" i="1" s="1"/>
  <c r="BE29" i="1" s="1"/>
  <c r="CI28" i="1"/>
  <c r="CU28" i="1" s="1"/>
  <c r="AZ29" i="1" s="1"/>
  <c r="CP28" i="1"/>
  <c r="DB28" i="1" s="1"/>
  <c r="BG29" i="1" s="1"/>
  <c r="EH28" i="1"/>
  <c r="EM28" i="1" s="1"/>
  <c r="EO28" i="1" s="1"/>
  <c r="EQ28" i="1" s="1"/>
  <c r="ES28" i="1" s="1"/>
  <c r="CS28" i="1"/>
  <c r="DE28" i="1" s="1"/>
  <c r="AS29" i="1"/>
  <c r="DQ29" i="1"/>
  <c r="DK32" i="1"/>
  <c r="AM32" i="1"/>
  <c r="X33" i="1"/>
  <c r="DY27" i="1"/>
  <c r="DI31" i="1"/>
  <c r="V32" i="1"/>
  <c r="AK31" i="1"/>
  <c r="EG26" i="1"/>
  <c r="EL26" i="1" s="1"/>
  <c r="EN26" i="1" s="1"/>
  <c r="EP26" i="1" s="1"/>
  <c r="ER26" i="1" s="1"/>
  <c r="BN26" i="1"/>
  <c r="BP26" i="1"/>
  <c r="R29" i="1" s="1"/>
  <c r="CE29" i="1" s="1"/>
  <c r="AX28" i="1" l="1"/>
  <c r="AY29" i="1" s="1"/>
  <c r="DS29" i="1"/>
  <c r="AF30" i="1"/>
  <c r="AL32" i="1"/>
  <c r="W33" i="1"/>
  <c r="DJ32" i="1"/>
  <c r="Y34" i="1"/>
  <c r="DL33" i="1"/>
  <c r="AN33" i="1"/>
  <c r="S30" i="1"/>
  <c r="AH29" i="1"/>
  <c r="BL29" i="1" s="1"/>
  <c r="DF29" i="1"/>
  <c r="CF29" i="1"/>
  <c r="CG29" i="1"/>
  <c r="DU29" i="1" s="1"/>
  <c r="CD29" i="1"/>
  <c r="DZ27" i="1"/>
  <c r="DV28" i="1" l="1"/>
  <c r="DW28" i="1"/>
  <c r="BM29" i="1"/>
  <c r="EK29" i="1" s="1"/>
  <c r="BJ29" i="1"/>
  <c r="BK29" i="1"/>
  <c r="EI29" i="1" s="1"/>
  <c r="T31" i="1"/>
  <c r="AI30" i="1"/>
  <c r="DG30" i="1"/>
  <c r="DX28" i="1"/>
  <c r="AE30" i="1"/>
  <c r="DR29" i="1"/>
  <c r="AO34" i="1"/>
  <c r="DM34" i="1"/>
  <c r="Z35" i="1"/>
  <c r="EA27" i="1"/>
  <c r="DT29" i="1"/>
  <c r="EJ29" i="1" s="1"/>
  <c r="AG30" i="1"/>
  <c r="AW30" i="1" s="1"/>
  <c r="AV30" i="1"/>
  <c r="AM33" i="1"/>
  <c r="DK33" i="1"/>
  <c r="X34" i="1"/>
  <c r="CI29" i="1" l="1"/>
  <c r="CU29" i="1" s="1"/>
  <c r="AZ30" i="1" s="1"/>
  <c r="CJ29" i="1"/>
  <c r="CV29" i="1" s="1"/>
  <c r="BA30" i="1" s="1"/>
  <c r="CL29" i="1"/>
  <c r="CX29" i="1" s="1"/>
  <c r="BC30" i="1" s="1"/>
  <c r="CN29" i="1"/>
  <c r="CZ29" i="1" s="1"/>
  <c r="BE30" i="1" s="1"/>
  <c r="CO29" i="1"/>
  <c r="DA29" i="1" s="1"/>
  <c r="BF30" i="1" s="1"/>
  <c r="CM29" i="1"/>
  <c r="CY29" i="1" s="1"/>
  <c r="BD30" i="1" s="1"/>
  <c r="CS29" i="1"/>
  <c r="DE29" i="1" s="1"/>
  <c r="CQ29" i="1"/>
  <c r="DC29" i="1" s="1"/>
  <c r="BH30" i="1" s="1"/>
  <c r="CR29" i="1"/>
  <c r="DD29" i="1" s="1"/>
  <c r="BI30" i="1" s="1"/>
  <c r="CK29" i="1"/>
  <c r="CW29" i="1" s="1"/>
  <c r="BB30" i="1" s="1"/>
  <c r="AN34" i="1"/>
  <c r="DL34" i="1"/>
  <c r="Y35" i="1"/>
  <c r="AC30" i="1"/>
  <c r="EH29" i="1"/>
  <c r="EM29" i="1" s="1"/>
  <c r="EO29" i="1" s="1"/>
  <c r="EQ29" i="1" s="1"/>
  <c r="ES29" i="1" s="1"/>
  <c r="AU30" i="1"/>
  <c r="U32" i="1"/>
  <c r="AJ31" i="1"/>
  <c r="DH31" i="1"/>
  <c r="EB27" i="1"/>
  <c r="DN35" i="1"/>
  <c r="AP35" i="1"/>
  <c r="AA36" i="1"/>
  <c r="CP29" i="1"/>
  <c r="DB29" i="1" s="1"/>
  <c r="BG30" i="1" s="1"/>
  <c r="BO29" i="1"/>
  <c r="BQ29" i="1"/>
  <c r="AD30" i="1" s="1"/>
  <c r="CH29" i="1"/>
  <c r="CT29" i="1" s="1"/>
  <c r="AX29" i="1" s="1"/>
  <c r="AY30" i="1" s="1"/>
  <c r="DY28" i="1"/>
  <c r="EC27" i="1" l="1"/>
  <c r="AS30" i="1"/>
  <c r="DQ30" i="1"/>
  <c r="DO36" i="1"/>
  <c r="AQ36" i="1"/>
  <c r="AB37" i="1"/>
  <c r="DM35" i="1"/>
  <c r="AO35" i="1"/>
  <c r="Z36" i="1"/>
  <c r="AT30" i="1"/>
  <c r="DI32" i="1"/>
  <c r="AK32" i="1"/>
  <c r="V33" i="1"/>
  <c r="DV29" i="1"/>
  <c r="DZ28" i="1"/>
  <c r="AP36" i="1" l="1"/>
  <c r="AA37" i="1"/>
  <c r="DN36" i="1"/>
  <c r="EA28" i="1"/>
  <c r="DW29" i="1"/>
  <c r="W34" i="1"/>
  <c r="DJ33" i="1"/>
  <c r="AL33" i="1"/>
  <c r="AR37" i="1"/>
  <c r="DP37" i="1"/>
  <c r="ED27" i="1"/>
  <c r="EB28" i="1" l="1"/>
  <c r="AQ37" i="1"/>
  <c r="DO37" i="1"/>
  <c r="AB38" i="1"/>
  <c r="DK34" i="1"/>
  <c r="AM34" i="1"/>
  <c r="X35" i="1"/>
  <c r="EE27" i="1"/>
  <c r="DX29" i="1"/>
  <c r="AR38" i="1" l="1"/>
  <c r="DP38" i="1"/>
  <c r="DY29" i="1"/>
  <c r="EF27" i="1"/>
  <c r="Y36" i="1"/>
  <c r="DL35" i="1"/>
  <c r="AN35" i="1"/>
  <c r="EC28" i="1"/>
  <c r="DM36" i="1" l="1"/>
  <c r="AO36" i="1"/>
  <c r="Z37" i="1"/>
  <c r="EG27" i="1"/>
  <c r="EL27" i="1" s="1"/>
  <c r="EN27" i="1" s="1"/>
  <c r="EP27" i="1" s="1"/>
  <c r="ER27" i="1" s="1"/>
  <c r="BP27" i="1"/>
  <c r="R30" i="1" s="1"/>
  <c r="BN27" i="1"/>
  <c r="DZ29" i="1"/>
  <c r="ED28" i="1"/>
  <c r="EA29" i="1" l="1"/>
  <c r="CD30" i="1"/>
  <c r="CF30" i="1"/>
  <c r="CG30" i="1"/>
  <c r="DU30" i="1" s="1"/>
  <c r="CE30" i="1"/>
  <c r="S31" i="1"/>
  <c r="AH30" i="1"/>
  <c r="DF30" i="1"/>
  <c r="EE28" i="1"/>
  <c r="AP37" i="1"/>
  <c r="DN37" i="1"/>
  <c r="AA38" i="1"/>
  <c r="AQ38" i="1" l="1"/>
  <c r="DO38" i="1"/>
  <c r="AB39" i="1"/>
  <c r="AI31" i="1"/>
  <c r="T32" i="1"/>
  <c r="DG31" i="1"/>
  <c r="BL30" i="1"/>
  <c r="BM30" i="1"/>
  <c r="EK30" i="1" s="1"/>
  <c r="BK30" i="1"/>
  <c r="BJ30" i="1"/>
  <c r="DS30" i="1"/>
  <c r="AF31" i="1"/>
  <c r="DT30" i="1"/>
  <c r="AG31" i="1"/>
  <c r="AW31" i="1" s="1"/>
  <c r="DR30" i="1"/>
  <c r="AE31" i="1"/>
  <c r="EF28" i="1"/>
  <c r="EB29" i="1"/>
  <c r="CJ30" i="1" l="1"/>
  <c r="CV30" i="1" s="1"/>
  <c r="BA31" i="1" s="1"/>
  <c r="CK30" i="1"/>
  <c r="CW30" i="1" s="1"/>
  <c r="BB31" i="1" s="1"/>
  <c r="EI30" i="1"/>
  <c r="CH30" i="1"/>
  <c r="CT30" i="1" s="1"/>
  <c r="AX30" i="1" s="1"/>
  <c r="AY31" i="1" s="1"/>
  <c r="CL30" i="1"/>
  <c r="CX30" i="1" s="1"/>
  <c r="BC31" i="1" s="1"/>
  <c r="AC31" i="1"/>
  <c r="EH30" i="1"/>
  <c r="CN30" i="1"/>
  <c r="CZ30" i="1" s="1"/>
  <c r="BE31" i="1" s="1"/>
  <c r="EJ30" i="1"/>
  <c r="CM30" i="1"/>
  <c r="CY30" i="1" s="1"/>
  <c r="BD31" i="1" s="1"/>
  <c r="AV31" i="1"/>
  <c r="DH32" i="1"/>
  <c r="AJ32" i="1"/>
  <c r="U33" i="1"/>
  <c r="EG28" i="1"/>
  <c r="EL28" i="1" s="1"/>
  <c r="EN28" i="1" s="1"/>
  <c r="EP28" i="1" s="1"/>
  <c r="ER28" i="1" s="1"/>
  <c r="BN28" i="1"/>
  <c r="BP28" i="1"/>
  <c r="R31" i="1" s="1"/>
  <c r="AU31" i="1"/>
  <c r="CQ30" i="1"/>
  <c r="DC30" i="1" s="1"/>
  <c r="BH31" i="1" s="1"/>
  <c r="CS30" i="1"/>
  <c r="DE30" i="1" s="1"/>
  <c r="CO30" i="1"/>
  <c r="DA30" i="1" s="1"/>
  <c r="BF31" i="1" s="1"/>
  <c r="BO30" i="1"/>
  <c r="BQ30" i="1"/>
  <c r="AD31" i="1" s="1"/>
  <c r="DP39" i="1"/>
  <c r="AR39" i="1"/>
  <c r="CI30" i="1"/>
  <c r="CU30" i="1" s="1"/>
  <c r="AZ31" i="1" s="1"/>
  <c r="CP30" i="1"/>
  <c r="DB30" i="1" s="1"/>
  <c r="BG31" i="1" s="1"/>
  <c r="EC29" i="1"/>
  <c r="CR30" i="1"/>
  <c r="DD30" i="1" s="1"/>
  <c r="BI31" i="1" s="1"/>
  <c r="AT31" i="1" l="1"/>
  <c r="AK33" i="1"/>
  <c r="DI33" i="1"/>
  <c r="V34" i="1"/>
  <c r="EM30" i="1"/>
  <c r="EO30" i="1" s="1"/>
  <c r="EQ30" i="1" s="1"/>
  <c r="ES30" i="1" s="1"/>
  <c r="ED29" i="1"/>
  <c r="AS31" i="1"/>
  <c r="DQ31" i="1"/>
  <c r="AH31" i="1"/>
  <c r="CE31" i="1"/>
  <c r="DF31" i="1"/>
  <c r="CD31" i="1"/>
  <c r="CG31" i="1"/>
  <c r="DU31" i="1" s="1"/>
  <c r="CF31" i="1"/>
  <c r="S32" i="1"/>
  <c r="DV30" i="1"/>
  <c r="DW30" i="1" l="1"/>
  <c r="BM31" i="1"/>
  <c r="EK31" i="1" s="1"/>
  <c r="BL31" i="1"/>
  <c r="BJ31" i="1"/>
  <c r="BK31" i="1"/>
  <c r="W35" i="1"/>
  <c r="AL34" i="1"/>
  <c r="DJ34" i="1"/>
  <c r="AI32" i="1"/>
  <c r="T33" i="1"/>
  <c r="DG32" i="1"/>
  <c r="DT31" i="1"/>
  <c r="AG32" i="1"/>
  <c r="AW32" i="1" s="1"/>
  <c r="DS31" i="1"/>
  <c r="AF32" i="1"/>
  <c r="DR31" i="1"/>
  <c r="AE32" i="1"/>
  <c r="EE29" i="1"/>
  <c r="EJ31" i="1" l="1"/>
  <c r="CP31" i="1"/>
  <c r="DB31" i="1" s="1"/>
  <c r="BG32" i="1" s="1"/>
  <c r="CR31" i="1"/>
  <c r="DD31" i="1" s="1"/>
  <c r="BI32" i="1" s="1"/>
  <c r="CK31" i="1"/>
  <c r="CW31" i="1" s="1"/>
  <c r="BB32" i="1" s="1"/>
  <c r="CI31" i="1"/>
  <c r="CU31" i="1" s="1"/>
  <c r="AZ32" i="1" s="1"/>
  <c r="CJ31" i="1"/>
  <c r="CV31" i="1" s="1"/>
  <c r="BA32" i="1" s="1"/>
  <c r="CM31" i="1"/>
  <c r="CY31" i="1" s="1"/>
  <c r="BD32" i="1" s="1"/>
  <c r="CO31" i="1"/>
  <c r="DA31" i="1" s="1"/>
  <c r="BF32" i="1" s="1"/>
  <c r="BQ31" i="1"/>
  <c r="AD32" i="1" s="1"/>
  <c r="AT32" i="1" s="1"/>
  <c r="DK35" i="1"/>
  <c r="X36" i="1"/>
  <c r="AM35" i="1"/>
  <c r="U34" i="1"/>
  <c r="AJ33" i="1"/>
  <c r="DH33" i="1"/>
  <c r="BO31" i="1"/>
  <c r="CS31" i="1"/>
  <c r="DE31" i="1" s="1"/>
  <c r="CH31" i="1"/>
  <c r="CT31" i="1" s="1"/>
  <c r="AX31" i="1" s="1"/>
  <c r="AY32" i="1" s="1"/>
  <c r="CL31" i="1"/>
  <c r="CX31" i="1" s="1"/>
  <c r="BC32" i="1" s="1"/>
  <c r="AV32" i="1"/>
  <c r="EH31" i="1"/>
  <c r="AC32" i="1"/>
  <c r="EI31" i="1"/>
  <c r="AU32" i="1"/>
  <c r="EF29" i="1"/>
  <c r="CQ31" i="1"/>
  <c r="DC31" i="1" s="1"/>
  <c r="BH32" i="1" s="1"/>
  <c r="CN31" i="1"/>
  <c r="CZ31" i="1" s="1"/>
  <c r="BE32" i="1" s="1"/>
  <c r="DX30" i="1"/>
  <c r="DI34" i="1" l="1"/>
  <c r="V35" i="1"/>
  <c r="AK34" i="1"/>
  <c r="DY30" i="1"/>
  <c r="DQ32" i="1"/>
  <c r="AS32" i="1"/>
  <c r="DV31" i="1"/>
  <c r="EM31" i="1"/>
  <c r="EO31" i="1" s="1"/>
  <c r="EQ31" i="1" s="1"/>
  <c r="ES31" i="1" s="1"/>
  <c r="DL36" i="1"/>
  <c r="AN36" i="1"/>
  <c r="Y37" i="1"/>
  <c r="EG29" i="1"/>
  <c r="EL29" i="1" s="1"/>
  <c r="EN29" i="1" s="1"/>
  <c r="EP29" i="1" s="1"/>
  <c r="ER29" i="1" s="1"/>
  <c r="BN29" i="1"/>
  <c r="BP29" i="1"/>
  <c r="R32" i="1" s="1"/>
  <c r="DW31" i="1" l="1"/>
  <c r="AO37" i="1"/>
  <c r="Z38" i="1"/>
  <c r="DM37" i="1"/>
  <c r="W36" i="1"/>
  <c r="DJ35" i="1"/>
  <c r="AL35" i="1"/>
  <c r="DZ30" i="1"/>
  <c r="AH32" i="1"/>
  <c r="S33" i="1"/>
  <c r="CF32" i="1"/>
  <c r="CG32" i="1"/>
  <c r="DU32" i="1" s="1"/>
  <c r="CE32" i="1"/>
  <c r="DF32" i="1"/>
  <c r="CD32" i="1"/>
  <c r="X37" i="1" l="1"/>
  <c r="AM36" i="1"/>
  <c r="DK36" i="1"/>
  <c r="DR32" i="1"/>
  <c r="AE33" i="1"/>
  <c r="EA30" i="1"/>
  <c r="AA39" i="1"/>
  <c r="AP38" i="1"/>
  <c r="DN38" i="1"/>
  <c r="BJ32" i="1"/>
  <c r="BK32" i="1"/>
  <c r="BL32" i="1"/>
  <c r="BM32" i="1"/>
  <c r="EK32" i="1" s="1"/>
  <c r="DS32" i="1"/>
  <c r="AF33" i="1"/>
  <c r="DT32" i="1"/>
  <c r="AG33" i="1"/>
  <c r="AW33" i="1" s="1"/>
  <c r="DX31" i="1"/>
  <c r="AI33" i="1"/>
  <c r="T34" i="1"/>
  <c r="DG33" i="1"/>
  <c r="EI32" i="1" l="1"/>
  <c r="CS32" i="1"/>
  <c r="DE32" i="1" s="1"/>
  <c r="EJ32" i="1"/>
  <c r="CI32" i="1"/>
  <c r="CU32" i="1" s="1"/>
  <c r="AZ33" i="1" s="1"/>
  <c r="CJ32" i="1"/>
  <c r="CV32" i="1" s="1"/>
  <c r="BA33" i="1" s="1"/>
  <c r="CL32" i="1"/>
  <c r="CX32" i="1" s="1"/>
  <c r="BC33" i="1" s="1"/>
  <c r="CR32" i="1"/>
  <c r="DD32" i="1" s="1"/>
  <c r="BI33" i="1" s="1"/>
  <c r="CH32" i="1"/>
  <c r="CT32" i="1" s="1"/>
  <c r="CP32" i="1"/>
  <c r="DB32" i="1" s="1"/>
  <c r="BG33" i="1" s="1"/>
  <c r="AV33" i="1"/>
  <c r="AC33" i="1"/>
  <c r="EH32" i="1"/>
  <c r="U35" i="1"/>
  <c r="DH34" i="1"/>
  <c r="AJ34" i="1"/>
  <c r="AQ39" i="1"/>
  <c r="AB40" i="1"/>
  <c r="DO39" i="1"/>
  <c r="CK32" i="1"/>
  <c r="CW32" i="1" s="1"/>
  <c r="BB33" i="1" s="1"/>
  <c r="EB30" i="1"/>
  <c r="CM32" i="1"/>
  <c r="CY32" i="1" s="1"/>
  <c r="BD33" i="1" s="1"/>
  <c r="CQ32" i="1"/>
  <c r="DC32" i="1" s="1"/>
  <c r="BH33" i="1" s="1"/>
  <c r="AN37" i="1"/>
  <c r="Y38" i="1"/>
  <c r="DL37" i="1"/>
  <c r="DY31" i="1"/>
  <c r="CN32" i="1"/>
  <c r="CZ32" i="1" s="1"/>
  <c r="BE33" i="1" s="1"/>
  <c r="BO32" i="1"/>
  <c r="BQ32" i="1"/>
  <c r="AD33" i="1" s="1"/>
  <c r="AU33" i="1"/>
  <c r="CO32" i="1"/>
  <c r="DA32" i="1" s="1"/>
  <c r="BF33" i="1" s="1"/>
  <c r="EM32" i="1" l="1"/>
  <c r="EO32" i="1" s="1"/>
  <c r="EQ32" i="1" s="1"/>
  <c r="ES32" i="1" s="1"/>
  <c r="AX32" i="1"/>
  <c r="AY33" i="1" s="1"/>
  <c r="AT33" i="1"/>
  <c r="EC30" i="1"/>
  <c r="DI35" i="1"/>
  <c r="AK35" i="1"/>
  <c r="V36" i="1"/>
  <c r="AS33" i="1"/>
  <c r="DQ33" i="1"/>
  <c r="DM38" i="1"/>
  <c r="Z39" i="1"/>
  <c r="AO38" i="1"/>
  <c r="AR40" i="1"/>
  <c r="DP40" i="1"/>
  <c r="DZ31" i="1"/>
  <c r="DW32" i="1" l="1"/>
  <c r="DV32" i="1"/>
  <c r="ED30" i="1"/>
  <c r="EA31" i="1"/>
  <c r="DX32" i="1"/>
  <c r="AL36" i="1"/>
  <c r="DJ36" i="1"/>
  <c r="W37" i="1"/>
  <c r="DN39" i="1"/>
  <c r="AA40" i="1"/>
  <c r="AP39" i="1"/>
  <c r="DY32" i="1" l="1"/>
  <c r="DK37" i="1"/>
  <c r="X38" i="1"/>
  <c r="AM37" i="1"/>
  <c r="EB31" i="1"/>
  <c r="AB41" i="1"/>
  <c r="DO40" i="1"/>
  <c r="AQ40" i="1"/>
  <c r="EE30" i="1"/>
  <c r="EC31" i="1" l="1"/>
  <c r="Y39" i="1"/>
  <c r="DL38" i="1"/>
  <c r="AN38" i="1"/>
  <c r="EF30" i="1"/>
  <c r="AR41" i="1"/>
  <c r="DP41" i="1"/>
  <c r="DZ32" i="1"/>
  <c r="EG30" i="1" l="1"/>
  <c r="EL30" i="1" s="1"/>
  <c r="EN30" i="1" s="1"/>
  <c r="EP30" i="1" s="1"/>
  <c r="ER30" i="1" s="1"/>
  <c r="BP30" i="1"/>
  <c r="R33" i="1" s="1"/>
  <c r="BN30" i="1"/>
  <c r="Z40" i="1"/>
  <c r="AO39" i="1"/>
  <c r="DM39" i="1"/>
  <c r="EA32" i="1"/>
  <c r="ED31" i="1"/>
  <c r="EB32" i="1" l="1"/>
  <c r="AP40" i="1"/>
  <c r="AA41" i="1"/>
  <c r="DN40" i="1"/>
  <c r="EE31" i="1"/>
  <c r="DF33" i="1"/>
  <c r="AH33" i="1"/>
  <c r="S34" i="1"/>
  <c r="CF33" i="1"/>
  <c r="CG33" i="1"/>
  <c r="DU33" i="1" s="1"/>
  <c r="CE33" i="1"/>
  <c r="CD33" i="1"/>
  <c r="DR33" i="1" l="1"/>
  <c r="AE34" i="1"/>
  <c r="DS33" i="1"/>
  <c r="AF34" i="1"/>
  <c r="EF31" i="1"/>
  <c r="AQ41" i="1"/>
  <c r="DO41" i="1"/>
  <c r="AB42" i="1"/>
  <c r="AI34" i="1"/>
  <c r="DG34" i="1"/>
  <c r="T35" i="1"/>
  <c r="DT33" i="1"/>
  <c r="AG34" i="1"/>
  <c r="AW34" i="1" s="1"/>
  <c r="BJ33" i="1"/>
  <c r="BM33" i="1"/>
  <c r="EK33" i="1" s="1"/>
  <c r="BK33" i="1"/>
  <c r="BL33" i="1"/>
  <c r="EC32" i="1"/>
  <c r="CP33" i="1" l="1"/>
  <c r="DB33" i="1" s="1"/>
  <c r="BG34" i="1" s="1"/>
  <c r="CL33" i="1"/>
  <c r="CX33" i="1" s="1"/>
  <c r="BC34" i="1" s="1"/>
  <c r="AV34" i="1"/>
  <c r="CM33" i="1"/>
  <c r="CY33" i="1" s="1"/>
  <c r="BD34" i="1" s="1"/>
  <c r="EI33" i="1"/>
  <c r="CR33" i="1"/>
  <c r="DD33" i="1" s="1"/>
  <c r="BI34" i="1" s="1"/>
  <c r="AR42" i="1"/>
  <c r="DP42" i="1"/>
  <c r="CS33" i="1"/>
  <c r="DE33" i="1" s="1"/>
  <c r="EG31" i="1"/>
  <c r="EL31" i="1" s="1"/>
  <c r="EN31" i="1" s="1"/>
  <c r="EP31" i="1" s="1"/>
  <c r="ER31" i="1" s="1"/>
  <c r="BP31" i="1"/>
  <c r="R34" i="1" s="1"/>
  <c r="BN31" i="1"/>
  <c r="BO33" i="1"/>
  <c r="BQ33" i="1"/>
  <c r="AD34" i="1" s="1"/>
  <c r="CH33" i="1"/>
  <c r="CT33" i="1" s="1"/>
  <c r="AX33" i="1" s="1"/>
  <c r="AY34" i="1" s="1"/>
  <c r="AU34" i="1"/>
  <c r="CO33" i="1"/>
  <c r="DA33" i="1" s="1"/>
  <c r="BF34" i="1" s="1"/>
  <c r="U36" i="1"/>
  <c r="AJ35" i="1"/>
  <c r="DH35" i="1"/>
  <c r="CI33" i="1"/>
  <c r="CU33" i="1" s="1"/>
  <c r="AZ34" i="1" s="1"/>
  <c r="CQ33" i="1"/>
  <c r="DC33" i="1" s="1"/>
  <c r="BH34" i="1" s="1"/>
  <c r="EJ33" i="1"/>
  <c r="CJ33" i="1"/>
  <c r="CV33" i="1" s="1"/>
  <c r="BA34" i="1" s="1"/>
  <c r="CN33" i="1"/>
  <c r="CZ33" i="1" s="1"/>
  <c r="BE34" i="1" s="1"/>
  <c r="ED32" i="1"/>
  <c r="CK33" i="1"/>
  <c r="CW33" i="1" s="1"/>
  <c r="BB34" i="1" s="1"/>
  <c r="EH33" i="1"/>
  <c r="AC34" i="1"/>
  <c r="EM33" i="1" l="1"/>
  <c r="EO33" i="1" s="1"/>
  <c r="EQ33" i="1" s="1"/>
  <c r="ES33" i="1" s="1"/>
  <c r="DV33" i="1"/>
  <c r="AT34" i="1"/>
  <c r="EE32" i="1"/>
  <c r="DI36" i="1"/>
  <c r="AK36" i="1"/>
  <c r="V37" i="1"/>
  <c r="AH34" i="1"/>
  <c r="CG34" i="1"/>
  <c r="DU34" i="1" s="1"/>
  <c r="CE34" i="1"/>
  <c r="CD34" i="1"/>
  <c r="AE35" i="1" s="1"/>
  <c r="CF34" i="1"/>
  <c r="DF34" i="1"/>
  <c r="S35" i="1"/>
  <c r="AS34" i="1"/>
  <c r="DQ34" i="1"/>
  <c r="AU35" i="1" l="1"/>
  <c r="BL34" i="1"/>
  <c r="BK34" i="1"/>
  <c r="BM34" i="1"/>
  <c r="EK34" i="1" s="1"/>
  <c r="BJ34" i="1"/>
  <c r="T36" i="1"/>
  <c r="AI35" i="1"/>
  <c r="DG35" i="1"/>
  <c r="W38" i="1"/>
  <c r="DJ37" i="1"/>
  <c r="AL37" i="1"/>
  <c r="DT34" i="1"/>
  <c r="AG35" i="1"/>
  <c r="AW35" i="1" s="1"/>
  <c r="DR34" i="1"/>
  <c r="DS34" i="1"/>
  <c r="AF35" i="1"/>
  <c r="EF32" i="1"/>
  <c r="DW33" i="1"/>
  <c r="CP34" i="1" l="1"/>
  <c r="DB34" i="1" s="1"/>
  <c r="BG35" i="1" s="1"/>
  <c r="BO34" i="1"/>
  <c r="BQ34" i="1"/>
  <c r="AD35" i="1" s="1"/>
  <c r="AT35" i="1" s="1"/>
  <c r="CS34" i="1"/>
  <c r="DE34" i="1" s="1"/>
  <c r="CI34" i="1"/>
  <c r="CU34" i="1" s="1"/>
  <c r="AZ35" i="1" s="1"/>
  <c r="CJ34" i="1"/>
  <c r="CV34" i="1" s="1"/>
  <c r="BA35" i="1" s="1"/>
  <c r="CK34" i="1"/>
  <c r="CW34" i="1" s="1"/>
  <c r="BB35" i="1" s="1"/>
  <c r="CR34" i="1"/>
  <c r="DD34" i="1" s="1"/>
  <c r="BI35" i="1" s="1"/>
  <c r="CM34" i="1"/>
  <c r="CY34" i="1" s="1"/>
  <c r="BD35" i="1" s="1"/>
  <c r="CQ34" i="1"/>
  <c r="DC34" i="1" s="1"/>
  <c r="BH35" i="1" s="1"/>
  <c r="CO34" i="1"/>
  <c r="DA34" i="1" s="1"/>
  <c r="BF35" i="1" s="1"/>
  <c r="U37" i="1"/>
  <c r="DH36" i="1"/>
  <c r="AJ36" i="1"/>
  <c r="CH34" i="1"/>
  <c r="CT34" i="1" s="1"/>
  <c r="AX34" i="1" s="1"/>
  <c r="AY35" i="1" s="1"/>
  <c r="DX33" i="1"/>
  <c r="EH34" i="1"/>
  <c r="AC35" i="1"/>
  <c r="DK38" i="1"/>
  <c r="X39" i="1"/>
  <c r="AM38" i="1"/>
  <c r="EG32" i="1"/>
  <c r="EL32" i="1" s="1"/>
  <c r="EN32" i="1" s="1"/>
  <c r="EP32" i="1" s="1"/>
  <c r="ER32" i="1" s="1"/>
  <c r="BN32" i="1"/>
  <c r="BP32" i="1"/>
  <c r="R35" i="1" s="1"/>
  <c r="CL34" i="1"/>
  <c r="CX34" i="1" s="1"/>
  <c r="BC35" i="1" s="1"/>
  <c r="AV35" i="1"/>
  <c r="EI34" i="1"/>
  <c r="CN34" i="1"/>
  <c r="CZ34" i="1" s="1"/>
  <c r="BE35" i="1" s="1"/>
  <c r="EJ34" i="1"/>
  <c r="Y40" i="1" l="1"/>
  <c r="AN39" i="1"/>
  <c r="DL39" i="1"/>
  <c r="DV34" i="1"/>
  <c r="AS35" i="1"/>
  <c r="DQ35" i="1"/>
  <c r="S36" i="1"/>
  <c r="DF35" i="1"/>
  <c r="AH35" i="1"/>
  <c r="CF35" i="1"/>
  <c r="CE35" i="1"/>
  <c r="CD35" i="1"/>
  <c r="CG35" i="1"/>
  <c r="DU35" i="1" s="1"/>
  <c r="EM34" i="1"/>
  <c r="EO34" i="1" s="1"/>
  <c r="EQ34" i="1" s="1"/>
  <c r="ES34" i="1" s="1"/>
  <c r="DY33" i="1"/>
  <c r="AK37" i="1"/>
  <c r="DI37" i="1"/>
  <c r="V38" i="1"/>
  <c r="DZ33" i="1" l="1"/>
  <c r="BL35" i="1"/>
  <c r="BK35" i="1"/>
  <c r="BJ35" i="1"/>
  <c r="BM35" i="1"/>
  <c r="EK35" i="1" s="1"/>
  <c r="DT35" i="1"/>
  <c r="AG36" i="1"/>
  <c r="AW36" i="1" s="1"/>
  <c r="DW34" i="1"/>
  <c r="DS35" i="1"/>
  <c r="AF36" i="1"/>
  <c r="DG36" i="1"/>
  <c r="T37" i="1"/>
  <c r="AI36" i="1"/>
  <c r="AL38" i="1"/>
  <c r="W39" i="1"/>
  <c r="DJ38" i="1"/>
  <c r="AO40" i="1"/>
  <c r="DM40" i="1"/>
  <c r="Z41" i="1"/>
  <c r="AE36" i="1"/>
  <c r="DR35" i="1"/>
  <c r="CL35" i="1" l="1"/>
  <c r="CX35" i="1" s="1"/>
  <c r="BC36" i="1" s="1"/>
  <c r="CO35" i="1"/>
  <c r="DA35" i="1" s="1"/>
  <c r="BF36" i="1" s="1"/>
  <c r="EI35" i="1"/>
  <c r="CI35" i="1"/>
  <c r="CU35" i="1" s="1"/>
  <c r="AZ36" i="1" s="1"/>
  <c r="CJ35" i="1"/>
  <c r="CV35" i="1" s="1"/>
  <c r="BA36" i="1" s="1"/>
  <c r="CK35" i="1"/>
  <c r="CW35" i="1" s="1"/>
  <c r="BB36" i="1" s="1"/>
  <c r="CM35" i="1"/>
  <c r="CY35" i="1" s="1"/>
  <c r="BD36" i="1" s="1"/>
  <c r="CH35" i="1"/>
  <c r="CT35" i="1" s="1"/>
  <c r="CN35" i="1"/>
  <c r="CZ35" i="1" s="1"/>
  <c r="BE36" i="1" s="1"/>
  <c r="CR35" i="1"/>
  <c r="DD35" i="1" s="1"/>
  <c r="BI36" i="1" s="1"/>
  <c r="CP35" i="1"/>
  <c r="DB35" i="1" s="1"/>
  <c r="BG36" i="1" s="1"/>
  <c r="EH35" i="1"/>
  <c r="AC36" i="1"/>
  <c r="AV36" i="1"/>
  <c r="CQ35" i="1"/>
  <c r="DC35" i="1" s="1"/>
  <c r="BH36" i="1" s="1"/>
  <c r="BO35" i="1"/>
  <c r="BQ35" i="1"/>
  <c r="AD36" i="1" s="1"/>
  <c r="AU36" i="1"/>
  <c r="AP41" i="1"/>
  <c r="AA42" i="1"/>
  <c r="DN41" i="1"/>
  <c r="AM39" i="1"/>
  <c r="DK39" i="1"/>
  <c r="X40" i="1"/>
  <c r="DX34" i="1"/>
  <c r="DH37" i="1"/>
  <c r="AJ37" i="1"/>
  <c r="U38" i="1"/>
  <c r="EJ35" i="1"/>
  <c r="EA33" i="1"/>
  <c r="CS35" i="1"/>
  <c r="DE35" i="1" s="1"/>
  <c r="AX35" i="1" l="1"/>
  <c r="AY36" i="1" s="1"/>
  <c r="DL40" i="1"/>
  <c r="AN40" i="1"/>
  <c r="Y41" i="1"/>
  <c r="AT36" i="1"/>
  <c r="AK38" i="1"/>
  <c r="V39" i="1"/>
  <c r="DI38" i="1"/>
  <c r="DW35" i="1"/>
  <c r="DO42" i="1"/>
  <c r="AB43" i="1"/>
  <c r="AQ42" i="1"/>
  <c r="EB33" i="1"/>
  <c r="DY34" i="1"/>
  <c r="DQ36" i="1"/>
  <c r="AS36" i="1"/>
  <c r="EM35" i="1"/>
  <c r="EO35" i="1" s="1"/>
  <c r="EQ35" i="1" s="1"/>
  <c r="ES35" i="1" s="1"/>
  <c r="DV35" i="1" l="1"/>
  <c r="W40" i="1"/>
  <c r="AL39" i="1"/>
  <c r="DJ39" i="1"/>
  <c r="AR43" i="1"/>
  <c r="DP43" i="1"/>
  <c r="DZ34" i="1"/>
  <c r="DX35" i="1"/>
  <c r="AO41" i="1"/>
  <c r="Z42" i="1"/>
  <c r="DM41" i="1"/>
  <c r="EC33" i="1"/>
  <c r="EA34" i="1" l="1"/>
  <c r="DY35" i="1"/>
  <c r="ED33" i="1"/>
  <c r="AP42" i="1"/>
  <c r="DN42" i="1"/>
  <c r="AA43" i="1"/>
  <c r="DK40" i="1"/>
  <c r="AM40" i="1"/>
  <c r="X41" i="1"/>
  <c r="AQ43" i="1" l="1"/>
  <c r="DO43" i="1"/>
  <c r="AB44" i="1"/>
  <c r="EE33" i="1"/>
  <c r="AN41" i="1"/>
  <c r="DL41" i="1"/>
  <c r="Y42" i="1"/>
  <c r="DZ35" i="1"/>
  <c r="EB34" i="1"/>
  <c r="EC34" i="1" l="1"/>
  <c r="EF33" i="1"/>
  <c r="DP44" i="1"/>
  <c r="AR44" i="1"/>
  <c r="EA35" i="1"/>
  <c r="AO42" i="1"/>
  <c r="DM42" i="1"/>
  <c r="Z43" i="1"/>
  <c r="DN43" i="1" l="1"/>
  <c r="AP43" i="1"/>
  <c r="AA44" i="1"/>
  <c r="EG33" i="1"/>
  <c r="EL33" i="1" s="1"/>
  <c r="EN33" i="1" s="1"/>
  <c r="EP33" i="1" s="1"/>
  <c r="ER33" i="1" s="1"/>
  <c r="BP33" i="1"/>
  <c r="R36" i="1" s="1"/>
  <c r="BN33" i="1"/>
  <c r="EB35" i="1"/>
  <c r="ED34" i="1"/>
  <c r="EC35" i="1" l="1"/>
  <c r="DF36" i="1"/>
  <c r="S37" i="1"/>
  <c r="AH36" i="1"/>
  <c r="CE36" i="1"/>
  <c r="CF36" i="1"/>
  <c r="CG36" i="1"/>
  <c r="DU36" i="1" s="1"/>
  <c r="CD36" i="1"/>
  <c r="EE34" i="1"/>
  <c r="DO44" i="1"/>
  <c r="AB45" i="1"/>
  <c r="AQ44" i="1"/>
  <c r="DT36" i="1" l="1"/>
  <c r="AG37" i="1"/>
  <c r="AW37" i="1" s="1"/>
  <c r="DS36" i="1"/>
  <c r="AF37" i="1"/>
  <c r="AR45" i="1"/>
  <c r="DP45" i="1"/>
  <c r="BL36" i="1"/>
  <c r="BM36" i="1"/>
  <c r="EK36" i="1" s="1"/>
  <c r="BK36" i="1"/>
  <c r="BJ36" i="1"/>
  <c r="DG37" i="1"/>
  <c r="T38" i="1"/>
  <c r="AI37" i="1"/>
  <c r="EF34" i="1"/>
  <c r="DR36" i="1"/>
  <c r="AE37" i="1"/>
  <c r="ED35" i="1"/>
  <c r="CS36" i="1" l="1"/>
  <c r="DE36" i="1" s="1"/>
  <c r="EI36" i="1"/>
  <c r="CP36" i="1"/>
  <c r="DB36" i="1" s="1"/>
  <c r="BG37" i="1" s="1"/>
  <c r="CI36" i="1"/>
  <c r="CU36" i="1" s="1"/>
  <c r="AZ37" i="1" s="1"/>
  <c r="CK36" i="1"/>
  <c r="CW36" i="1" s="1"/>
  <c r="BB37" i="1" s="1"/>
  <c r="CL36" i="1"/>
  <c r="CX36" i="1" s="1"/>
  <c r="BC37" i="1" s="1"/>
  <c r="CJ36" i="1"/>
  <c r="CV36" i="1" s="1"/>
  <c r="BA37" i="1" s="1"/>
  <c r="CN36" i="1"/>
  <c r="CZ36" i="1" s="1"/>
  <c r="BE37" i="1" s="1"/>
  <c r="CR36" i="1"/>
  <c r="DD36" i="1" s="1"/>
  <c r="BI37" i="1" s="1"/>
  <c r="CQ36" i="1"/>
  <c r="DC36" i="1" s="1"/>
  <c r="BH37" i="1" s="1"/>
  <c r="CO36" i="1"/>
  <c r="DA36" i="1" s="1"/>
  <c r="BF37" i="1" s="1"/>
  <c r="EE35" i="1"/>
  <c r="AU37" i="1"/>
  <c r="U39" i="1"/>
  <c r="AJ38" i="1"/>
  <c r="DH38" i="1"/>
  <c r="AV37" i="1"/>
  <c r="AC37" i="1"/>
  <c r="EH36" i="1"/>
  <c r="BO36" i="1"/>
  <c r="BQ36" i="1"/>
  <c r="AD37" i="1" s="1"/>
  <c r="EJ36" i="1"/>
  <c r="CM36" i="1"/>
  <c r="CY36" i="1" s="1"/>
  <c r="BD37" i="1" s="1"/>
  <c r="EG34" i="1"/>
  <c r="EL34" i="1" s="1"/>
  <c r="EN34" i="1" s="1"/>
  <c r="EP34" i="1" s="1"/>
  <c r="ER34" i="1" s="1"/>
  <c r="BN34" i="1"/>
  <c r="BP34" i="1"/>
  <c r="R37" i="1" s="1"/>
  <c r="CH36" i="1"/>
  <c r="CT36" i="1" s="1"/>
  <c r="AX36" i="1" s="1"/>
  <c r="AY37" i="1" s="1"/>
  <c r="DV36" i="1" l="1"/>
  <c r="EM36" i="1"/>
  <c r="EO36" i="1" s="1"/>
  <c r="EQ36" i="1" s="1"/>
  <c r="ES36" i="1" s="1"/>
  <c r="V40" i="1"/>
  <c r="AK39" i="1"/>
  <c r="DI39" i="1"/>
  <c r="DQ37" i="1"/>
  <c r="AS37" i="1"/>
  <c r="AT37" i="1"/>
  <c r="AH37" i="1"/>
  <c r="S38" i="1"/>
  <c r="DF37" i="1"/>
  <c r="CD37" i="1"/>
  <c r="AE38" i="1" s="1"/>
  <c r="CF37" i="1"/>
  <c r="CG37" i="1"/>
  <c r="DU37" i="1" s="1"/>
  <c r="CE37" i="1"/>
  <c r="EF35" i="1"/>
  <c r="AU38" i="1" l="1"/>
  <c r="DS37" i="1"/>
  <c r="AF38" i="1"/>
  <c r="AL40" i="1"/>
  <c r="W41" i="1"/>
  <c r="DJ40" i="1"/>
  <c r="DT37" i="1"/>
  <c r="AG38" i="1"/>
  <c r="AW38" i="1" s="1"/>
  <c r="DR37" i="1"/>
  <c r="AI38" i="1"/>
  <c r="T39" i="1"/>
  <c r="DG38" i="1"/>
  <c r="EG35" i="1"/>
  <c r="EL35" i="1" s="1"/>
  <c r="EN35" i="1" s="1"/>
  <c r="EP35" i="1" s="1"/>
  <c r="ER35" i="1" s="1"/>
  <c r="BN35" i="1"/>
  <c r="BP35" i="1"/>
  <c r="R38" i="1" s="1"/>
  <c r="BM37" i="1"/>
  <c r="EK37" i="1" s="1"/>
  <c r="BK37" i="1"/>
  <c r="BL37" i="1"/>
  <c r="BJ37" i="1"/>
  <c r="DW36" i="1"/>
  <c r="CO37" i="1" l="1"/>
  <c r="DA37" i="1" s="1"/>
  <c r="BF38" i="1" s="1"/>
  <c r="CN37" i="1"/>
  <c r="CZ37" i="1" s="1"/>
  <c r="BE38" i="1" s="1"/>
  <c r="DX36" i="1"/>
  <c r="CS37" i="1"/>
  <c r="DE37" i="1" s="1"/>
  <c r="AM41" i="1"/>
  <c r="X42" i="1"/>
  <c r="DK41" i="1"/>
  <c r="CL37" i="1"/>
  <c r="CX37" i="1" s="1"/>
  <c r="BC38" i="1" s="1"/>
  <c r="CH37" i="1"/>
  <c r="CT37" i="1" s="1"/>
  <c r="AX37" i="1" s="1"/>
  <c r="AY38" i="1" s="1"/>
  <c r="BO37" i="1"/>
  <c r="CI37" i="1"/>
  <c r="CU37" i="1" s="1"/>
  <c r="AZ38" i="1" s="1"/>
  <c r="EH37" i="1"/>
  <c r="AC38" i="1"/>
  <c r="CF38" i="1" s="1"/>
  <c r="DT38" i="1" s="1"/>
  <c r="DH39" i="1"/>
  <c r="AJ39" i="1"/>
  <c r="U40" i="1"/>
  <c r="CJ37" i="1"/>
  <c r="CV37" i="1" s="1"/>
  <c r="BA38" i="1" s="1"/>
  <c r="CP37" i="1"/>
  <c r="DB37" i="1" s="1"/>
  <c r="BG38" i="1" s="1"/>
  <c r="CK37" i="1"/>
  <c r="CW37" i="1" s="1"/>
  <c r="BB38" i="1" s="1"/>
  <c r="BQ37" i="1"/>
  <c r="AD38" i="1" s="1"/>
  <c r="AV38" i="1"/>
  <c r="CM37" i="1"/>
  <c r="CY37" i="1" s="1"/>
  <c r="BD38" i="1" s="1"/>
  <c r="EI37" i="1"/>
  <c r="DF38" i="1"/>
  <c r="AH38" i="1"/>
  <c r="S39" i="1"/>
  <c r="CR37" i="1"/>
  <c r="DD37" i="1" s="1"/>
  <c r="BI38" i="1" s="1"/>
  <c r="EJ37" i="1"/>
  <c r="CQ37" i="1"/>
  <c r="DC37" i="1" s="1"/>
  <c r="BH38" i="1" s="1"/>
  <c r="CD38" i="1" l="1"/>
  <c r="AE39" i="1" s="1"/>
  <c r="CG38" i="1"/>
  <c r="DU38" i="1" s="1"/>
  <c r="CE38" i="1"/>
  <c r="DS38" i="1" s="1"/>
  <c r="EM37" i="1"/>
  <c r="EO37" i="1" s="1"/>
  <c r="EQ37" i="1" s="1"/>
  <c r="ES37" i="1" s="1"/>
  <c r="AN42" i="1"/>
  <c r="DL42" i="1"/>
  <c r="Y43" i="1"/>
  <c r="DV37" i="1"/>
  <c r="DI40" i="1"/>
  <c r="AK40" i="1"/>
  <c r="V41" i="1"/>
  <c r="DG39" i="1"/>
  <c r="T40" i="1"/>
  <c r="AI39" i="1"/>
  <c r="DY36" i="1"/>
  <c r="AT38" i="1"/>
  <c r="BK38" i="1" s="1"/>
  <c r="AS38" i="1"/>
  <c r="DQ38" i="1"/>
  <c r="DR38" i="1" l="1"/>
  <c r="AC39" i="1" s="1"/>
  <c r="AF39" i="1"/>
  <c r="AV39" i="1" s="1"/>
  <c r="AG39" i="1"/>
  <c r="AW39" i="1" s="1"/>
  <c r="BJ38" i="1"/>
  <c r="DW37" i="1"/>
  <c r="EI38" i="1"/>
  <c r="DM43" i="1"/>
  <c r="Z44" i="1"/>
  <c r="AO43" i="1"/>
  <c r="DZ36" i="1"/>
  <c r="AJ40" i="1"/>
  <c r="DH40" i="1"/>
  <c r="U41" i="1"/>
  <c r="AU39" i="1"/>
  <c r="BL38" i="1"/>
  <c r="EJ38" i="1" s="1"/>
  <c r="AL41" i="1"/>
  <c r="W42" i="1"/>
  <c r="DJ41" i="1"/>
  <c r="BM38" i="1"/>
  <c r="EK38" i="1" s="1"/>
  <c r="EH38" i="1" l="1"/>
  <c r="EM38" i="1" s="1"/>
  <c r="EO38" i="1" s="1"/>
  <c r="EQ38" i="1" s="1"/>
  <c r="ES38" i="1" s="1"/>
  <c r="CM38" i="1"/>
  <c r="CY38" i="1" s="1"/>
  <c r="BD39" i="1" s="1"/>
  <c r="CP38" i="1"/>
  <c r="DB38" i="1" s="1"/>
  <c r="BG39" i="1" s="1"/>
  <c r="CK38" i="1"/>
  <c r="CW38" i="1" s="1"/>
  <c r="BB39" i="1" s="1"/>
  <c r="EA36" i="1"/>
  <c r="CR38" i="1"/>
  <c r="DD38" i="1" s="1"/>
  <c r="BI39" i="1" s="1"/>
  <c r="CN38" i="1"/>
  <c r="CZ38" i="1" s="1"/>
  <c r="BE39" i="1" s="1"/>
  <c r="CL38" i="1"/>
  <c r="CX38" i="1" s="1"/>
  <c r="BC39" i="1" s="1"/>
  <c r="AP44" i="1"/>
  <c r="AA45" i="1"/>
  <c r="DN44" i="1"/>
  <c r="CI38" i="1"/>
  <c r="CU38" i="1" s="1"/>
  <c r="AZ39" i="1" s="1"/>
  <c r="CQ38" i="1"/>
  <c r="DC38" i="1" s="1"/>
  <c r="BH39" i="1" s="1"/>
  <c r="X43" i="1"/>
  <c r="DK42" i="1"/>
  <c r="AM42" i="1"/>
  <c r="CS38" i="1"/>
  <c r="DE38" i="1" s="1"/>
  <c r="BO38" i="1"/>
  <c r="CO38" i="1"/>
  <c r="DA38" i="1" s="1"/>
  <c r="BF39" i="1" s="1"/>
  <c r="DI41" i="1"/>
  <c r="AK41" i="1"/>
  <c r="V42" i="1"/>
  <c r="CJ38" i="1"/>
  <c r="CV38" i="1" s="1"/>
  <c r="BA39" i="1" s="1"/>
  <c r="DX37" i="1"/>
  <c r="BQ38" i="1"/>
  <c r="AD39" i="1" s="1"/>
  <c r="AS39" i="1"/>
  <c r="DQ39" i="1"/>
  <c r="CH38" i="1"/>
  <c r="CT38" i="1" s="1"/>
  <c r="AX38" i="1" s="1"/>
  <c r="AY39" i="1" s="1"/>
  <c r="DV38" i="1" l="1"/>
  <c r="DL43" i="1"/>
  <c r="AN43" i="1"/>
  <c r="Y44" i="1"/>
  <c r="DJ42" i="1"/>
  <c r="AL42" i="1"/>
  <c r="W43" i="1"/>
  <c r="DY37" i="1"/>
  <c r="AT39" i="1"/>
  <c r="AQ45" i="1"/>
  <c r="AB46" i="1"/>
  <c r="DO45" i="1"/>
  <c r="EB36" i="1"/>
  <c r="AR46" i="1" l="1"/>
  <c r="DP46" i="1"/>
  <c r="DZ37" i="1"/>
  <c r="Z45" i="1"/>
  <c r="DM44" i="1"/>
  <c r="AO44" i="1"/>
  <c r="AM43" i="1"/>
  <c r="DK43" i="1"/>
  <c r="X44" i="1"/>
  <c r="EC36" i="1"/>
  <c r="DW38" i="1"/>
  <c r="ED36" i="1" l="1"/>
  <c r="AA46" i="1"/>
  <c r="AP45" i="1"/>
  <c r="DN45" i="1"/>
  <c r="DX38" i="1"/>
  <c r="Y45" i="1"/>
  <c r="DL44" i="1"/>
  <c r="AN44" i="1"/>
  <c r="EA37" i="1"/>
  <c r="DY38" i="1" l="1"/>
  <c r="AQ46" i="1"/>
  <c r="DO46" i="1"/>
  <c r="AB47" i="1"/>
  <c r="EB37" i="1"/>
  <c r="DM45" i="1"/>
  <c r="Z46" i="1"/>
  <c r="AO45" i="1"/>
  <c r="EE36" i="1"/>
  <c r="EF36" i="1" l="1"/>
  <c r="EC37" i="1"/>
  <c r="DP47" i="1"/>
  <c r="AR47" i="1"/>
  <c r="AA47" i="1"/>
  <c r="AP46" i="1"/>
  <c r="DN46" i="1"/>
  <c r="DZ38" i="1"/>
  <c r="AQ47" i="1" l="1"/>
  <c r="DO47" i="1"/>
  <c r="AB48" i="1"/>
  <c r="EA38" i="1"/>
  <c r="ED37" i="1"/>
  <c r="EG36" i="1"/>
  <c r="EL36" i="1" s="1"/>
  <c r="EN36" i="1" s="1"/>
  <c r="EP36" i="1" s="1"/>
  <c r="ER36" i="1" s="1"/>
  <c r="BN36" i="1"/>
  <c r="BP36" i="1"/>
  <c r="R39" i="1" s="1"/>
  <c r="EE37" i="1" l="1"/>
  <c r="AH39" i="1"/>
  <c r="DF39" i="1"/>
  <c r="S40" i="1"/>
  <c r="CD39" i="1"/>
  <c r="CE39" i="1"/>
  <c r="CF39" i="1"/>
  <c r="CG39" i="1"/>
  <c r="DU39" i="1" s="1"/>
  <c r="EB38" i="1"/>
  <c r="AR48" i="1"/>
  <c r="DP48" i="1"/>
  <c r="DS39" i="1" l="1"/>
  <c r="AF40" i="1"/>
  <c r="DT39" i="1"/>
  <c r="AG40" i="1"/>
  <c r="AW40" i="1" s="1"/>
  <c r="DR39" i="1"/>
  <c r="AE40" i="1"/>
  <c r="DG40" i="1"/>
  <c r="AI40" i="1"/>
  <c r="T41" i="1"/>
  <c r="EC38" i="1"/>
  <c r="BL39" i="1"/>
  <c r="BK39" i="1"/>
  <c r="BJ39" i="1"/>
  <c r="BM39" i="1"/>
  <c r="EK39" i="1" s="1"/>
  <c r="EF37" i="1"/>
  <c r="CQ39" i="1" l="1"/>
  <c r="DC39" i="1" s="1"/>
  <c r="BH40" i="1" s="1"/>
  <c r="CS39" i="1"/>
  <c r="DE39" i="1" s="1"/>
  <c r="CP39" i="1"/>
  <c r="DB39" i="1" s="1"/>
  <c r="BG40" i="1" s="1"/>
  <c r="CH39" i="1"/>
  <c r="CT39" i="1" s="1"/>
  <c r="AX39" i="1" s="1"/>
  <c r="AY40" i="1" s="1"/>
  <c r="ED38" i="1"/>
  <c r="CI39" i="1"/>
  <c r="CU39" i="1" s="1"/>
  <c r="AZ40" i="1" s="1"/>
  <c r="CR39" i="1"/>
  <c r="DD39" i="1" s="1"/>
  <c r="BI40" i="1" s="1"/>
  <c r="EG37" i="1"/>
  <c r="EL37" i="1" s="1"/>
  <c r="EN37" i="1" s="1"/>
  <c r="EP37" i="1" s="1"/>
  <c r="ER37" i="1" s="1"/>
  <c r="BN37" i="1"/>
  <c r="BP37" i="1"/>
  <c r="R40" i="1" s="1"/>
  <c r="CJ39" i="1"/>
  <c r="CV39" i="1" s="1"/>
  <c r="BA40" i="1" s="1"/>
  <c r="BO39" i="1"/>
  <c r="BQ39" i="1"/>
  <c r="AD40" i="1" s="1"/>
  <c r="CK39" i="1"/>
  <c r="CW39" i="1" s="1"/>
  <c r="BB40" i="1" s="1"/>
  <c r="EH39" i="1"/>
  <c r="AC40" i="1"/>
  <c r="AJ41" i="1"/>
  <c r="DH41" i="1"/>
  <c r="U42" i="1"/>
  <c r="CL39" i="1"/>
  <c r="CX39" i="1" s="1"/>
  <c r="BC40" i="1" s="1"/>
  <c r="CM39" i="1"/>
  <c r="CY39" i="1" s="1"/>
  <c r="BD40" i="1" s="1"/>
  <c r="EJ39" i="1"/>
  <c r="CO39" i="1"/>
  <c r="DA39" i="1" s="1"/>
  <c r="BF40" i="1" s="1"/>
  <c r="AV40" i="1"/>
  <c r="AU40" i="1"/>
  <c r="CN39" i="1"/>
  <c r="CZ39" i="1" s="1"/>
  <c r="BE40" i="1" s="1"/>
  <c r="EI39" i="1"/>
  <c r="DQ40" i="1" l="1"/>
  <c r="AS40" i="1"/>
  <c r="AH40" i="1"/>
  <c r="S41" i="1"/>
  <c r="CG40" i="1"/>
  <c r="DU40" i="1" s="1"/>
  <c r="CE40" i="1"/>
  <c r="CF40" i="1"/>
  <c r="CD40" i="1"/>
  <c r="AE41" i="1" s="1"/>
  <c r="DF40" i="1"/>
  <c r="EM39" i="1"/>
  <c r="EO39" i="1" s="1"/>
  <c r="EQ39" i="1" s="1"/>
  <c r="ES39" i="1" s="1"/>
  <c r="AT40" i="1"/>
  <c r="EE38" i="1"/>
  <c r="V43" i="1"/>
  <c r="AK42" i="1"/>
  <c r="DI42" i="1"/>
  <c r="DV39" i="1"/>
  <c r="EF38" i="1" l="1"/>
  <c r="DS40" i="1"/>
  <c r="AF41" i="1"/>
  <c r="DT40" i="1"/>
  <c r="AG41" i="1"/>
  <c r="AW41" i="1" s="1"/>
  <c r="AU41" i="1"/>
  <c r="T42" i="1"/>
  <c r="AI41" i="1"/>
  <c r="DG41" i="1"/>
  <c r="BK40" i="1"/>
  <c r="BJ40" i="1"/>
  <c r="BM40" i="1"/>
  <c r="EK40" i="1" s="1"/>
  <c r="BL40" i="1"/>
  <c r="W44" i="1"/>
  <c r="DJ43" i="1"/>
  <c r="AL43" i="1"/>
  <c r="DW39" i="1"/>
  <c r="DR40" i="1"/>
  <c r="CN40" i="1" l="1"/>
  <c r="CZ40" i="1" s="1"/>
  <c r="BE41" i="1" s="1"/>
  <c r="CI40" i="1"/>
  <c r="CU40" i="1" s="1"/>
  <c r="AZ41" i="1" s="1"/>
  <c r="CP40" i="1"/>
  <c r="DB40" i="1" s="1"/>
  <c r="BG41" i="1" s="1"/>
  <c r="CO40" i="1"/>
  <c r="DA40" i="1" s="1"/>
  <c r="BF41" i="1" s="1"/>
  <c r="CL40" i="1"/>
  <c r="CX40" i="1" s="1"/>
  <c r="BC41" i="1" s="1"/>
  <c r="EJ40" i="1"/>
  <c r="CJ40" i="1"/>
  <c r="CV40" i="1" s="1"/>
  <c r="BA41" i="1" s="1"/>
  <c r="BQ40" i="1"/>
  <c r="AD41" i="1" s="1"/>
  <c r="AT41" i="1" s="1"/>
  <c r="EI40" i="1"/>
  <c r="CK40" i="1"/>
  <c r="CW40" i="1" s="1"/>
  <c r="BB41" i="1" s="1"/>
  <c r="CM40" i="1"/>
  <c r="CY40" i="1" s="1"/>
  <c r="BD41" i="1" s="1"/>
  <c r="CR40" i="1"/>
  <c r="DD40" i="1" s="1"/>
  <c r="BI41" i="1" s="1"/>
  <c r="AV41" i="1"/>
  <c r="X45" i="1"/>
  <c r="AM44" i="1"/>
  <c r="DK44" i="1"/>
  <c r="EH40" i="1"/>
  <c r="AC41" i="1"/>
  <c r="DH42" i="1"/>
  <c r="AJ42" i="1"/>
  <c r="U43" i="1"/>
  <c r="EG38" i="1"/>
  <c r="EL38" i="1" s="1"/>
  <c r="EN38" i="1" s="1"/>
  <c r="EP38" i="1" s="1"/>
  <c r="ER38" i="1" s="1"/>
  <c r="BN38" i="1"/>
  <c r="BP38" i="1"/>
  <c r="R41" i="1" s="1"/>
  <c r="DX39" i="1"/>
  <c r="CH40" i="1"/>
  <c r="CT40" i="1" s="1"/>
  <c r="AX40" i="1" s="1"/>
  <c r="AY41" i="1" s="1"/>
  <c r="BO40" i="1"/>
  <c r="CQ40" i="1"/>
  <c r="DC40" i="1" s="1"/>
  <c r="BH41" i="1" s="1"/>
  <c r="CS40" i="1"/>
  <c r="DE40" i="1" s="1"/>
  <c r="EM40" i="1" l="1"/>
  <c r="EO40" i="1" s="1"/>
  <c r="EQ40" i="1" s="1"/>
  <c r="ES40" i="1" s="1"/>
  <c r="DY39" i="1"/>
  <c r="AS41" i="1"/>
  <c r="DQ41" i="1"/>
  <c r="CF41" i="1"/>
  <c r="CE41" i="1"/>
  <c r="CD41" i="1"/>
  <c r="CG41" i="1"/>
  <c r="DU41" i="1" s="1"/>
  <c r="S42" i="1"/>
  <c r="AH41" i="1"/>
  <c r="DF41" i="1"/>
  <c r="Y46" i="1"/>
  <c r="DL45" i="1"/>
  <c r="AN45" i="1"/>
  <c r="DV40" i="1"/>
  <c r="DI43" i="1"/>
  <c r="AK43" i="1"/>
  <c r="V44" i="1"/>
  <c r="DS41" i="1" l="1"/>
  <c r="AF42" i="1"/>
  <c r="DM46" i="1"/>
  <c r="AO46" i="1"/>
  <c r="Z47" i="1"/>
  <c r="DT41" i="1"/>
  <c r="AG42" i="1"/>
  <c r="AW42" i="1" s="1"/>
  <c r="DW40" i="1"/>
  <c r="BJ41" i="1"/>
  <c r="BM41" i="1"/>
  <c r="EK41" i="1" s="1"/>
  <c r="BL41" i="1"/>
  <c r="BK41" i="1"/>
  <c r="DG42" i="1"/>
  <c r="T43" i="1"/>
  <c r="AI42" i="1"/>
  <c r="DJ44" i="1"/>
  <c r="AL44" i="1"/>
  <c r="W45" i="1"/>
  <c r="DZ39" i="1"/>
  <c r="DR41" i="1"/>
  <c r="AE42" i="1"/>
  <c r="CP41" i="1" l="1"/>
  <c r="DB41" i="1" s="1"/>
  <c r="BG42" i="1" s="1"/>
  <c r="CQ41" i="1"/>
  <c r="DC41" i="1" s="1"/>
  <c r="BH42" i="1" s="1"/>
  <c r="CL41" i="1"/>
  <c r="CX41" i="1" s="1"/>
  <c r="BC42" i="1" s="1"/>
  <c r="CI41" i="1"/>
  <c r="CU41" i="1" s="1"/>
  <c r="AZ42" i="1" s="1"/>
  <c r="CJ41" i="1"/>
  <c r="CV41" i="1" s="1"/>
  <c r="BA42" i="1" s="1"/>
  <c r="CK41" i="1"/>
  <c r="CW41" i="1" s="1"/>
  <c r="BB42" i="1" s="1"/>
  <c r="CO41" i="1"/>
  <c r="DA41" i="1" s="1"/>
  <c r="BF42" i="1" s="1"/>
  <c r="DK45" i="1"/>
  <c r="X46" i="1"/>
  <c r="AM45" i="1"/>
  <c r="EJ41" i="1"/>
  <c r="EH41" i="1"/>
  <c r="AC42" i="1"/>
  <c r="AA48" i="1"/>
  <c r="AP47" i="1"/>
  <c r="DN47" i="1"/>
  <c r="AU42" i="1"/>
  <c r="CN41" i="1"/>
  <c r="CZ41" i="1" s="1"/>
  <c r="BE42" i="1" s="1"/>
  <c r="BO41" i="1"/>
  <c r="BQ41" i="1"/>
  <c r="AD42" i="1" s="1"/>
  <c r="CS41" i="1"/>
  <c r="DE41" i="1" s="1"/>
  <c r="CH41" i="1"/>
  <c r="CT41" i="1" s="1"/>
  <c r="AX41" i="1" s="1"/>
  <c r="AY42" i="1" s="1"/>
  <c r="CM41" i="1"/>
  <c r="CY41" i="1" s="1"/>
  <c r="BD42" i="1" s="1"/>
  <c r="DX40" i="1"/>
  <c r="AV42" i="1"/>
  <c r="CR41" i="1"/>
  <c r="DD41" i="1" s="1"/>
  <c r="BI42" i="1" s="1"/>
  <c r="EA39" i="1"/>
  <c r="U44" i="1"/>
  <c r="DH43" i="1"/>
  <c r="AJ43" i="1"/>
  <c r="EI41" i="1"/>
  <c r="DQ42" i="1" l="1"/>
  <c r="AS42" i="1"/>
  <c r="DI44" i="1"/>
  <c r="V45" i="1"/>
  <c r="AK44" i="1"/>
  <c r="EM41" i="1"/>
  <c r="EO41" i="1" s="1"/>
  <c r="EQ41" i="1" s="1"/>
  <c r="ES41" i="1" s="1"/>
  <c r="DY40" i="1"/>
  <c r="EB39" i="1"/>
  <c r="DV41" i="1"/>
  <c r="AN46" i="1"/>
  <c r="DL46" i="1"/>
  <c r="Y47" i="1"/>
  <c r="AT42" i="1"/>
  <c r="DO48" i="1"/>
  <c r="AB49" i="1"/>
  <c r="AQ48" i="1"/>
  <c r="DW41" i="1" l="1"/>
  <c r="DJ45" i="1"/>
  <c r="AL45" i="1"/>
  <c r="W46" i="1"/>
  <c r="AO47" i="1"/>
  <c r="DM47" i="1"/>
  <c r="Z48" i="1"/>
  <c r="EC39" i="1"/>
  <c r="AR49" i="1"/>
  <c r="DP49" i="1"/>
  <c r="DZ40" i="1"/>
  <c r="EA40" i="1" l="1"/>
  <c r="X47" i="1"/>
  <c r="AM46" i="1"/>
  <c r="DK46" i="1"/>
  <c r="ED39" i="1"/>
  <c r="DN48" i="1"/>
  <c r="AA49" i="1"/>
  <c r="AP48" i="1"/>
  <c r="DX41" i="1"/>
  <c r="EE39" i="1" l="1"/>
  <c r="DY41" i="1"/>
  <c r="DO49" i="1"/>
  <c r="AQ49" i="1"/>
  <c r="AB50" i="1"/>
  <c r="AN47" i="1"/>
  <c r="DL47" i="1"/>
  <c r="Y48" i="1"/>
  <c r="EB40" i="1"/>
  <c r="DP50" i="1" l="1"/>
  <c r="AR50" i="1"/>
  <c r="EC40" i="1"/>
  <c r="DZ41" i="1"/>
  <c r="AO48" i="1"/>
  <c r="Z49" i="1"/>
  <c r="DM48" i="1"/>
  <c r="EF39" i="1"/>
  <c r="EA41" i="1" l="1"/>
  <c r="EG39" i="1"/>
  <c r="EL39" i="1" s="1"/>
  <c r="EN39" i="1" s="1"/>
  <c r="EP39" i="1" s="1"/>
  <c r="ER39" i="1" s="1"/>
  <c r="BP39" i="1"/>
  <c r="R42" i="1" s="1"/>
  <c r="BN39" i="1"/>
  <c r="ED40" i="1"/>
  <c r="DN49" i="1"/>
  <c r="AP49" i="1"/>
  <c r="AA50" i="1"/>
  <c r="CG42" i="1" l="1"/>
  <c r="DU42" i="1" s="1"/>
  <c r="S43" i="1"/>
  <c r="AH42" i="1"/>
  <c r="DF42" i="1"/>
  <c r="CF42" i="1"/>
  <c r="CD42" i="1"/>
  <c r="CE42" i="1"/>
  <c r="EE40" i="1"/>
  <c r="AQ50" i="1"/>
  <c r="AB51" i="1"/>
  <c r="DO50" i="1"/>
  <c r="EB41" i="1"/>
  <c r="DS42" i="1" l="1"/>
  <c r="AF43" i="1"/>
  <c r="DR42" i="1"/>
  <c r="AE43" i="1"/>
  <c r="DT42" i="1"/>
  <c r="AG43" i="1"/>
  <c r="AW43" i="1" s="1"/>
  <c r="AR51" i="1"/>
  <c r="DP51" i="1"/>
  <c r="BM42" i="1"/>
  <c r="EK42" i="1" s="1"/>
  <c r="BK42" i="1"/>
  <c r="BL42" i="1"/>
  <c r="BJ42" i="1"/>
  <c r="DG43" i="1"/>
  <c r="AI43" i="1"/>
  <c r="T44" i="1"/>
  <c r="EC41" i="1"/>
  <c r="EF40" i="1"/>
  <c r="CI42" i="1" l="1"/>
  <c r="CU42" i="1" s="1"/>
  <c r="AZ43" i="1" s="1"/>
  <c r="EJ42" i="1"/>
  <c r="CM42" i="1"/>
  <c r="CY42" i="1" s="1"/>
  <c r="BD43" i="1" s="1"/>
  <c r="CN42" i="1"/>
  <c r="CZ42" i="1" s="1"/>
  <c r="BE43" i="1" s="1"/>
  <c r="CS42" i="1"/>
  <c r="DE42" i="1" s="1"/>
  <c r="CR42" i="1"/>
  <c r="DD42" i="1" s="1"/>
  <c r="BI43" i="1" s="1"/>
  <c r="CQ42" i="1"/>
  <c r="DC42" i="1" s="1"/>
  <c r="BH43" i="1" s="1"/>
  <c r="CO42" i="1"/>
  <c r="DA42" i="1" s="1"/>
  <c r="BF43" i="1" s="1"/>
  <c r="BO42" i="1"/>
  <c r="BQ42" i="1"/>
  <c r="AD43" i="1" s="1"/>
  <c r="CH42" i="1"/>
  <c r="CT42" i="1" s="1"/>
  <c r="AX42" i="1" s="1"/>
  <c r="AY43" i="1" s="1"/>
  <c r="ED41" i="1"/>
  <c r="CP42" i="1"/>
  <c r="DB42" i="1" s="1"/>
  <c r="BG43" i="1" s="1"/>
  <c r="CJ42" i="1"/>
  <c r="CV42" i="1" s="1"/>
  <c r="BA43" i="1" s="1"/>
  <c r="AV43" i="1"/>
  <c r="EG40" i="1"/>
  <c r="EL40" i="1" s="1"/>
  <c r="EN40" i="1" s="1"/>
  <c r="EP40" i="1" s="1"/>
  <c r="ER40" i="1" s="1"/>
  <c r="BP40" i="1"/>
  <c r="R43" i="1" s="1"/>
  <c r="BN40" i="1"/>
  <c r="AU43" i="1"/>
  <c r="EH42" i="1"/>
  <c r="AC43" i="1"/>
  <c r="U45" i="1"/>
  <c r="DH44" i="1"/>
  <c r="AJ44" i="1"/>
  <c r="CK42" i="1"/>
  <c r="CW42" i="1" s="1"/>
  <c r="BB43" i="1" s="1"/>
  <c r="CL42" i="1"/>
  <c r="CX42" i="1" s="1"/>
  <c r="BC43" i="1" s="1"/>
  <c r="EI42" i="1"/>
  <c r="AT43" i="1" l="1"/>
  <c r="AS43" i="1"/>
  <c r="DQ43" i="1"/>
  <c r="AK45" i="1"/>
  <c r="DI45" i="1"/>
  <c r="V46" i="1"/>
  <c r="EM42" i="1"/>
  <c r="EO42" i="1" s="1"/>
  <c r="EQ42" i="1" s="1"/>
  <c r="ES42" i="1" s="1"/>
  <c r="EE41" i="1"/>
  <c r="CG43" i="1"/>
  <c r="DU43" i="1" s="1"/>
  <c r="CD43" i="1"/>
  <c r="AH43" i="1"/>
  <c r="DF43" i="1"/>
  <c r="S44" i="1"/>
  <c r="CF43" i="1"/>
  <c r="CE43" i="1"/>
  <c r="DV42" i="1"/>
  <c r="BK43" i="1" l="1"/>
  <c r="BL43" i="1"/>
  <c r="BJ43" i="1"/>
  <c r="DW42" i="1"/>
  <c r="DR43" i="1"/>
  <c r="DS43" i="1"/>
  <c r="AF44" i="1"/>
  <c r="EF41" i="1"/>
  <c r="DT43" i="1"/>
  <c r="AG44" i="1"/>
  <c r="AW44" i="1" s="1"/>
  <c r="T45" i="1"/>
  <c r="DG44" i="1"/>
  <c r="AI44" i="1"/>
  <c r="BM43" i="1"/>
  <c r="EK43" i="1" s="1"/>
  <c r="AL46" i="1"/>
  <c r="W47" i="1"/>
  <c r="DJ46" i="1"/>
  <c r="AE44" i="1"/>
  <c r="CH43" i="1" l="1"/>
  <c r="CT43" i="1" s="1"/>
  <c r="AX43" i="1" s="1"/>
  <c r="AY44" i="1" s="1"/>
  <c r="CJ43" i="1"/>
  <c r="CV43" i="1" s="1"/>
  <c r="BA44" i="1" s="1"/>
  <c r="BQ43" i="1"/>
  <c r="AD44" i="1" s="1"/>
  <c r="AT44" i="1" s="1"/>
  <c r="CQ43" i="1"/>
  <c r="DC43" i="1" s="1"/>
  <c r="BH44" i="1" s="1"/>
  <c r="CK43" i="1"/>
  <c r="CW43" i="1" s="1"/>
  <c r="BB44" i="1" s="1"/>
  <c r="AC44" i="1"/>
  <c r="EH43" i="1"/>
  <c r="AU44" i="1"/>
  <c r="EG41" i="1"/>
  <c r="EL41" i="1" s="1"/>
  <c r="EN41" i="1" s="1"/>
  <c r="EP41" i="1" s="1"/>
  <c r="ER41" i="1" s="1"/>
  <c r="BN41" i="1"/>
  <c r="BP41" i="1"/>
  <c r="R44" i="1" s="1"/>
  <c r="CL43" i="1"/>
  <c r="CX43" i="1" s="1"/>
  <c r="BC44" i="1" s="1"/>
  <c r="AV44" i="1"/>
  <c r="CM43" i="1"/>
  <c r="CY43" i="1" s="1"/>
  <c r="BD44" i="1" s="1"/>
  <c r="DX42" i="1"/>
  <c r="CN43" i="1"/>
  <c r="CZ43" i="1" s="1"/>
  <c r="BE44" i="1" s="1"/>
  <c r="CR43" i="1"/>
  <c r="DD43" i="1" s="1"/>
  <c r="BI44" i="1" s="1"/>
  <c r="BO43" i="1"/>
  <c r="AM47" i="1"/>
  <c r="DK47" i="1"/>
  <c r="X48" i="1"/>
  <c r="AJ45" i="1"/>
  <c r="U46" i="1"/>
  <c r="DH45" i="1"/>
  <c r="CS43" i="1"/>
  <c r="DE43" i="1" s="1"/>
  <c r="CP43" i="1"/>
  <c r="DB43" i="1" s="1"/>
  <c r="BG44" i="1" s="1"/>
  <c r="EJ43" i="1"/>
  <c r="CI43" i="1"/>
  <c r="CU43" i="1" s="1"/>
  <c r="AZ44" i="1" s="1"/>
  <c r="CO43" i="1"/>
  <c r="DA43" i="1" s="1"/>
  <c r="BF44" i="1" s="1"/>
  <c r="EI43" i="1"/>
  <c r="DV43" i="1" l="1"/>
  <c r="DW43" i="1"/>
  <c r="V47" i="1"/>
  <c r="DI46" i="1"/>
  <c r="AK46" i="1"/>
  <c r="EM43" i="1"/>
  <c r="EO43" i="1" s="1"/>
  <c r="EQ43" i="1" s="1"/>
  <c r="ES43" i="1" s="1"/>
  <c r="AS44" i="1"/>
  <c r="DQ44" i="1"/>
  <c r="DL48" i="1"/>
  <c r="AN48" i="1"/>
  <c r="Y49" i="1"/>
  <c r="CF44" i="1"/>
  <c r="CE44" i="1"/>
  <c r="DF44" i="1"/>
  <c r="AH44" i="1"/>
  <c r="S45" i="1"/>
  <c r="CD44" i="1"/>
  <c r="CG44" i="1"/>
  <c r="DU44" i="1" s="1"/>
  <c r="DY42" i="1"/>
  <c r="DR44" i="1" l="1"/>
  <c r="AE45" i="1"/>
  <c r="AO49" i="1"/>
  <c r="DM49" i="1"/>
  <c r="Z50" i="1"/>
  <c r="AI45" i="1"/>
  <c r="T46" i="1"/>
  <c r="DG45" i="1"/>
  <c r="DJ47" i="1"/>
  <c r="AL47" i="1"/>
  <c r="W48" i="1"/>
  <c r="BK44" i="1"/>
  <c r="BL44" i="1"/>
  <c r="BM44" i="1"/>
  <c r="EK44" i="1" s="1"/>
  <c r="BJ44" i="1"/>
  <c r="DZ42" i="1"/>
  <c r="DS44" i="1"/>
  <c r="AF45" i="1"/>
  <c r="DT44" i="1"/>
  <c r="AG45" i="1"/>
  <c r="AW45" i="1" s="1"/>
  <c r="DX43" i="1"/>
  <c r="CN44" i="1" l="1"/>
  <c r="CZ44" i="1" s="1"/>
  <c r="BE45" i="1" s="1"/>
  <c r="EJ44" i="1"/>
  <c r="CP44" i="1"/>
  <c r="DB44" i="1" s="1"/>
  <c r="BG45" i="1" s="1"/>
  <c r="CM44" i="1"/>
  <c r="CY44" i="1" s="1"/>
  <c r="BD45" i="1" s="1"/>
  <c r="CR44" i="1"/>
  <c r="DD44" i="1" s="1"/>
  <c r="BI45" i="1" s="1"/>
  <c r="EA42" i="1"/>
  <c r="AU45" i="1"/>
  <c r="EH44" i="1"/>
  <c r="AC45" i="1"/>
  <c r="DY43" i="1"/>
  <c r="AV45" i="1"/>
  <c r="CK44" i="1"/>
  <c r="CW44" i="1" s="1"/>
  <c r="BB45" i="1" s="1"/>
  <c r="BO44" i="1"/>
  <c r="BQ44" i="1"/>
  <c r="AD45" i="1" s="1"/>
  <c r="CH44" i="1"/>
  <c r="CT44" i="1" s="1"/>
  <c r="AX44" i="1" s="1"/>
  <c r="AY45" i="1" s="1"/>
  <c r="CI44" i="1"/>
  <c r="CU44" i="1" s="1"/>
  <c r="AZ45" i="1" s="1"/>
  <c r="CQ44" i="1"/>
  <c r="DC44" i="1" s="1"/>
  <c r="BH45" i="1" s="1"/>
  <c r="DK48" i="1"/>
  <c r="AM48" i="1"/>
  <c r="X49" i="1"/>
  <c r="EI44" i="1"/>
  <c r="DH46" i="1"/>
  <c r="U47" i="1"/>
  <c r="AJ46" i="1"/>
  <c r="CJ44" i="1"/>
  <c r="CV44" i="1" s="1"/>
  <c r="BA45" i="1" s="1"/>
  <c r="CO44" i="1"/>
  <c r="DA44" i="1" s="1"/>
  <c r="BF45" i="1" s="1"/>
  <c r="DN50" i="1"/>
  <c r="AP50" i="1"/>
  <c r="AA51" i="1"/>
  <c r="CS44" i="1"/>
  <c r="DE44" i="1" s="1"/>
  <c r="CL44" i="1"/>
  <c r="CX44" i="1" s="1"/>
  <c r="BC45" i="1" s="1"/>
  <c r="EM44" i="1" l="1"/>
  <c r="EO44" i="1" s="1"/>
  <c r="EQ44" i="1" s="1"/>
  <c r="ES44" i="1" s="1"/>
  <c r="Y50" i="1"/>
  <c r="DL49" i="1"/>
  <c r="AN49" i="1"/>
  <c r="AS45" i="1"/>
  <c r="DQ45" i="1"/>
  <c r="DI47" i="1"/>
  <c r="V48" i="1"/>
  <c r="AK47" i="1"/>
  <c r="AB52" i="1"/>
  <c r="DO51" i="1"/>
  <c r="AQ51" i="1"/>
  <c r="DV44" i="1"/>
  <c r="EB42" i="1"/>
  <c r="AT45" i="1"/>
  <c r="DZ43" i="1"/>
  <c r="EC42" i="1" l="1"/>
  <c r="DP52" i="1"/>
  <c r="AR52" i="1"/>
  <c r="EA43" i="1"/>
  <c r="DJ48" i="1"/>
  <c r="W49" i="1"/>
  <c r="AL48" i="1"/>
  <c r="DW44" i="1"/>
  <c r="DM50" i="1"/>
  <c r="AO50" i="1"/>
  <c r="Z51" i="1"/>
  <c r="DX44" i="1" l="1"/>
  <c r="EB43" i="1"/>
  <c r="AP51" i="1"/>
  <c r="DN51" i="1"/>
  <c r="AA52" i="1"/>
  <c r="AM49" i="1"/>
  <c r="X50" i="1"/>
  <c r="DK49" i="1"/>
  <c r="ED42" i="1"/>
  <c r="EC43" i="1" l="1"/>
  <c r="DL50" i="1"/>
  <c r="AN50" i="1"/>
  <c r="Y51" i="1"/>
  <c r="DO52" i="1"/>
  <c r="AQ52" i="1"/>
  <c r="AB53" i="1"/>
  <c r="DY44" i="1"/>
  <c r="EE42" i="1"/>
  <c r="Z52" i="1" l="1"/>
  <c r="AO51" i="1"/>
  <c r="DM51" i="1"/>
  <c r="EF42" i="1"/>
  <c r="DZ44" i="1"/>
  <c r="DP53" i="1"/>
  <c r="AR53" i="1"/>
  <c r="ED43" i="1"/>
  <c r="EA44" i="1" l="1"/>
  <c r="EE43" i="1"/>
  <c r="EG42" i="1"/>
  <c r="EL42" i="1" s="1"/>
  <c r="EN42" i="1" s="1"/>
  <c r="EP42" i="1" s="1"/>
  <c r="ER42" i="1" s="1"/>
  <c r="BP42" i="1"/>
  <c r="R45" i="1" s="1"/>
  <c r="BN42" i="1"/>
  <c r="AA53" i="1"/>
  <c r="DN52" i="1"/>
  <c r="AP52" i="1"/>
  <c r="CG45" i="1" l="1"/>
  <c r="DU45" i="1" s="1"/>
  <c r="CF45" i="1"/>
  <c r="CE45" i="1"/>
  <c r="AH45" i="1"/>
  <c r="CD45" i="1"/>
  <c r="DF45" i="1"/>
  <c r="S46" i="1"/>
  <c r="EF43" i="1"/>
  <c r="DO53" i="1"/>
  <c r="AQ53" i="1"/>
  <c r="AB54" i="1"/>
  <c r="EB44" i="1"/>
  <c r="T47" i="1" l="1"/>
  <c r="DG46" i="1"/>
  <c r="AI46" i="1"/>
  <c r="EC44" i="1"/>
  <c r="DR45" i="1"/>
  <c r="AE46" i="1"/>
  <c r="AR54" i="1"/>
  <c r="DP54" i="1"/>
  <c r="BJ45" i="1"/>
  <c r="BM45" i="1"/>
  <c r="EK45" i="1" s="1"/>
  <c r="BL45" i="1"/>
  <c r="BK45" i="1"/>
  <c r="DS45" i="1"/>
  <c r="AF46" i="1"/>
  <c r="DT45" i="1"/>
  <c r="AG46" i="1"/>
  <c r="AW46" i="1" s="1"/>
  <c r="EG43" i="1"/>
  <c r="EL43" i="1" s="1"/>
  <c r="EN43" i="1" s="1"/>
  <c r="EP43" i="1" s="1"/>
  <c r="ER43" i="1" s="1"/>
  <c r="BN43" i="1"/>
  <c r="BP43" i="1"/>
  <c r="R46" i="1" s="1"/>
  <c r="CK45" i="1" l="1"/>
  <c r="CW45" i="1" s="1"/>
  <c r="BB46" i="1" s="1"/>
  <c r="CJ45" i="1"/>
  <c r="CV45" i="1" s="1"/>
  <c r="BA46" i="1" s="1"/>
  <c r="EI45" i="1"/>
  <c r="CM45" i="1"/>
  <c r="CY45" i="1" s="1"/>
  <c r="BD46" i="1" s="1"/>
  <c r="BO45" i="1"/>
  <c r="BQ45" i="1"/>
  <c r="AD46" i="1" s="1"/>
  <c r="CN45" i="1"/>
  <c r="CZ45" i="1" s="1"/>
  <c r="BE46" i="1" s="1"/>
  <c r="CO45" i="1"/>
  <c r="DA45" i="1" s="1"/>
  <c r="BF46" i="1" s="1"/>
  <c r="ED44" i="1"/>
  <c r="DF46" i="1"/>
  <c r="S47" i="1"/>
  <c r="AH46" i="1"/>
  <c r="EJ45" i="1"/>
  <c r="CQ45" i="1"/>
  <c r="DC45" i="1" s="1"/>
  <c r="BH46" i="1" s="1"/>
  <c r="AV46" i="1"/>
  <c r="AU46" i="1"/>
  <c r="CP45" i="1"/>
  <c r="DB45" i="1" s="1"/>
  <c r="BG46" i="1" s="1"/>
  <c r="CS45" i="1"/>
  <c r="DE45" i="1" s="1"/>
  <c r="CR45" i="1"/>
  <c r="DD45" i="1" s="1"/>
  <c r="BI46" i="1" s="1"/>
  <c r="AJ47" i="1"/>
  <c r="U48" i="1"/>
  <c r="DH47" i="1"/>
  <c r="CL45" i="1"/>
  <c r="CX45" i="1" s="1"/>
  <c r="BC46" i="1" s="1"/>
  <c r="CI45" i="1"/>
  <c r="CU45" i="1" s="1"/>
  <c r="AZ46" i="1" s="1"/>
  <c r="EH45" i="1"/>
  <c r="AC46" i="1"/>
  <c r="CD46" i="1" s="1"/>
  <c r="CH45" i="1"/>
  <c r="CT45" i="1" s="1"/>
  <c r="AX45" i="1" s="1"/>
  <c r="AY46" i="1" s="1"/>
  <c r="EM45" i="1" l="1"/>
  <c r="EO45" i="1" s="1"/>
  <c r="EQ45" i="1" s="1"/>
  <c r="ES45" i="1" s="1"/>
  <c r="AE47" i="1"/>
  <c r="DR46" i="1"/>
  <c r="CF46" i="1"/>
  <c r="CG46" i="1"/>
  <c r="DU46" i="1" s="1"/>
  <c r="EE44" i="1"/>
  <c r="CE46" i="1"/>
  <c r="AK48" i="1"/>
  <c r="V49" i="1"/>
  <c r="DI48" i="1"/>
  <c r="DV45" i="1"/>
  <c r="AT46" i="1"/>
  <c r="AS46" i="1"/>
  <c r="DQ46" i="1"/>
  <c r="AI47" i="1"/>
  <c r="T48" i="1"/>
  <c r="DG47" i="1"/>
  <c r="DW45" i="1" l="1"/>
  <c r="EF44" i="1"/>
  <c r="BJ46" i="1"/>
  <c r="EH46" i="1" s="1"/>
  <c r="DT46" i="1"/>
  <c r="AG47" i="1"/>
  <c r="AW47" i="1" s="1"/>
  <c r="BL46" i="1"/>
  <c r="AJ48" i="1"/>
  <c r="U49" i="1"/>
  <c r="DH48" i="1"/>
  <c r="BM46" i="1"/>
  <c r="EK46" i="1" s="1"/>
  <c r="DJ49" i="1"/>
  <c r="AL49" i="1"/>
  <c r="W50" i="1"/>
  <c r="BK46" i="1"/>
  <c r="AC47" i="1"/>
  <c r="DS46" i="1"/>
  <c r="AF47" i="1"/>
  <c r="AU47" i="1"/>
  <c r="CK46" i="1" l="1"/>
  <c r="CW46" i="1" s="1"/>
  <c r="BB47" i="1" s="1"/>
  <c r="AK49" i="1"/>
  <c r="V50" i="1"/>
  <c r="DI49" i="1"/>
  <c r="BQ46" i="1"/>
  <c r="AD47" i="1" s="1"/>
  <c r="CL46" i="1"/>
  <c r="CX46" i="1" s="1"/>
  <c r="BC47" i="1" s="1"/>
  <c r="CS46" i="1"/>
  <c r="DE46" i="1" s="1"/>
  <c r="CM46" i="1"/>
  <c r="CY46" i="1" s="1"/>
  <c r="BD47" i="1" s="1"/>
  <c r="CJ46" i="1"/>
  <c r="CV46" i="1" s="1"/>
  <c r="BA47" i="1" s="1"/>
  <c r="CP46" i="1"/>
  <c r="DB46" i="1" s="1"/>
  <c r="BG47" i="1" s="1"/>
  <c r="CH46" i="1"/>
  <c r="CT46" i="1" s="1"/>
  <c r="AX46" i="1" s="1"/>
  <c r="AY47" i="1" s="1"/>
  <c r="CO46" i="1"/>
  <c r="DA46" i="1" s="1"/>
  <c r="BF47" i="1" s="1"/>
  <c r="CR46" i="1"/>
  <c r="DD46" i="1" s="1"/>
  <c r="BI47" i="1" s="1"/>
  <c r="CQ46" i="1"/>
  <c r="DC46" i="1" s="1"/>
  <c r="BH47" i="1" s="1"/>
  <c r="BO46" i="1"/>
  <c r="CN46" i="1"/>
  <c r="CZ46" i="1" s="1"/>
  <c r="BE47" i="1" s="1"/>
  <c r="DK50" i="1"/>
  <c r="X51" i="1"/>
  <c r="AM50" i="1"/>
  <c r="AV47" i="1"/>
  <c r="EG44" i="1"/>
  <c r="EL44" i="1" s="1"/>
  <c r="EN44" i="1" s="1"/>
  <c r="EP44" i="1" s="1"/>
  <c r="ER44" i="1" s="1"/>
  <c r="BN44" i="1"/>
  <c r="BP44" i="1"/>
  <c r="R47" i="1" s="1"/>
  <c r="EI46" i="1"/>
  <c r="AS47" i="1"/>
  <c r="DQ47" i="1"/>
  <c r="CI46" i="1"/>
  <c r="CU46" i="1" s="1"/>
  <c r="AZ47" i="1" s="1"/>
  <c r="EJ46" i="1"/>
  <c r="DX45" i="1"/>
  <c r="EM46" i="1" l="1"/>
  <c r="EO46" i="1" s="1"/>
  <c r="EQ46" i="1" s="1"/>
  <c r="ES46" i="1" s="1"/>
  <c r="AT47" i="1"/>
  <c r="DV46" i="1"/>
  <c r="AN51" i="1"/>
  <c r="DL51" i="1"/>
  <c r="Y52" i="1"/>
  <c r="W51" i="1"/>
  <c r="DJ50" i="1"/>
  <c r="AL50" i="1"/>
  <c r="DY45" i="1"/>
  <c r="DF47" i="1"/>
  <c r="S48" i="1"/>
  <c r="CG47" i="1"/>
  <c r="DU47" i="1" s="1"/>
  <c r="CF47" i="1"/>
  <c r="CE47" i="1"/>
  <c r="CD47" i="1"/>
  <c r="AE48" i="1" s="1"/>
  <c r="AH47" i="1"/>
  <c r="AU48" i="1" l="1"/>
  <c r="DG48" i="1"/>
  <c r="AI48" i="1"/>
  <c r="T49" i="1"/>
  <c r="DW46" i="1"/>
  <c r="DT47" i="1"/>
  <c r="AG48" i="1"/>
  <c r="AW48" i="1" s="1"/>
  <c r="AO52" i="1"/>
  <c r="DM52" i="1"/>
  <c r="Z53" i="1"/>
  <c r="DK51" i="1"/>
  <c r="X52" i="1"/>
  <c r="AM51" i="1"/>
  <c r="BL47" i="1"/>
  <c r="BM47" i="1"/>
  <c r="EK47" i="1" s="1"/>
  <c r="BJ47" i="1"/>
  <c r="BK47" i="1"/>
  <c r="DZ45" i="1"/>
  <c r="DR47" i="1"/>
  <c r="DS47" i="1"/>
  <c r="AF48" i="1"/>
  <c r="CJ47" i="1" l="1"/>
  <c r="CV47" i="1" s="1"/>
  <c r="BA48" i="1" s="1"/>
  <c r="CO47" i="1"/>
  <c r="DA47" i="1" s="1"/>
  <c r="BF48" i="1" s="1"/>
  <c r="CR47" i="1"/>
  <c r="DD47" i="1" s="1"/>
  <c r="BI48" i="1" s="1"/>
  <c r="CI47" i="1"/>
  <c r="CU47" i="1" s="1"/>
  <c r="AZ48" i="1" s="1"/>
  <c r="CS47" i="1"/>
  <c r="DE47" i="1" s="1"/>
  <c r="DL52" i="1"/>
  <c r="Y53" i="1"/>
  <c r="AN52" i="1"/>
  <c r="CL47" i="1"/>
  <c r="CX47" i="1" s="1"/>
  <c r="BC48" i="1" s="1"/>
  <c r="CH47" i="1"/>
  <c r="CT47" i="1" s="1"/>
  <c r="AX47" i="1" s="1"/>
  <c r="AY48" i="1" s="1"/>
  <c r="BO47" i="1"/>
  <c r="DX46" i="1"/>
  <c r="EH47" i="1"/>
  <c r="AC48" i="1"/>
  <c r="CK47" i="1"/>
  <c r="CW47" i="1" s="1"/>
  <c r="BB48" i="1" s="1"/>
  <c r="DN53" i="1"/>
  <c r="AP53" i="1"/>
  <c r="AA54" i="1"/>
  <c r="AJ49" i="1"/>
  <c r="DH49" i="1"/>
  <c r="U50" i="1"/>
  <c r="BQ47" i="1"/>
  <c r="AD48" i="1" s="1"/>
  <c r="CM47" i="1"/>
  <c r="CY47" i="1" s="1"/>
  <c r="BD48" i="1" s="1"/>
  <c r="CN47" i="1"/>
  <c r="CZ47" i="1" s="1"/>
  <c r="BE48" i="1" s="1"/>
  <c r="AV48" i="1"/>
  <c r="CQ47" i="1"/>
  <c r="DC47" i="1" s="1"/>
  <c r="BH48" i="1" s="1"/>
  <c r="EI47" i="1"/>
  <c r="CP47" i="1"/>
  <c r="DB47" i="1" s="1"/>
  <c r="BG48" i="1" s="1"/>
  <c r="EA45" i="1"/>
  <c r="EJ47" i="1"/>
  <c r="AS48" i="1" l="1"/>
  <c r="DQ48" i="1"/>
  <c r="DV47" i="1"/>
  <c r="EM47" i="1"/>
  <c r="EO47" i="1" s="1"/>
  <c r="EQ47" i="1" s="1"/>
  <c r="ES47" i="1" s="1"/>
  <c r="EB45" i="1"/>
  <c r="AB55" i="1"/>
  <c r="DO54" i="1"/>
  <c r="AQ54" i="1"/>
  <c r="DM53" i="1"/>
  <c r="Z54" i="1"/>
  <c r="AO53" i="1"/>
  <c r="AT48" i="1"/>
  <c r="V51" i="1"/>
  <c r="DI50" i="1"/>
  <c r="AK50" i="1"/>
  <c r="DY46" i="1"/>
  <c r="DP55" i="1" l="1"/>
  <c r="AR55" i="1"/>
  <c r="DW47" i="1"/>
  <c r="DJ51" i="1"/>
  <c r="AL51" i="1"/>
  <c r="W52" i="1"/>
  <c r="DZ46" i="1"/>
  <c r="AP54" i="1"/>
  <c r="AA55" i="1"/>
  <c r="DN54" i="1"/>
  <c r="EC45" i="1"/>
  <c r="AM52" i="1" l="1"/>
  <c r="DK52" i="1"/>
  <c r="X53" i="1"/>
  <c r="DX47" i="1"/>
  <c r="ED45" i="1"/>
  <c r="EA46" i="1"/>
  <c r="DO55" i="1"/>
  <c r="AQ55" i="1"/>
  <c r="AB56" i="1"/>
  <c r="DY47" i="1" l="1"/>
  <c r="EB46" i="1"/>
  <c r="DL53" i="1"/>
  <c r="Y54" i="1"/>
  <c r="AN53" i="1"/>
  <c r="EE45" i="1"/>
  <c r="AR56" i="1"/>
  <c r="DP56" i="1"/>
  <c r="AO54" i="1" l="1"/>
  <c r="Z55" i="1"/>
  <c r="DM54" i="1"/>
  <c r="EC46" i="1"/>
  <c r="EF45" i="1"/>
  <c r="DZ47" i="1"/>
  <c r="EG45" i="1" l="1"/>
  <c r="EL45" i="1" s="1"/>
  <c r="EN45" i="1" s="1"/>
  <c r="EP45" i="1" s="1"/>
  <c r="ER45" i="1" s="1"/>
  <c r="BP45" i="1"/>
  <c r="R48" i="1" s="1"/>
  <c r="BN45" i="1"/>
  <c r="ED46" i="1"/>
  <c r="DN55" i="1"/>
  <c r="AP55" i="1"/>
  <c r="AA56" i="1"/>
  <c r="EA47" i="1"/>
  <c r="EE46" i="1" l="1"/>
  <c r="EB47" i="1"/>
  <c r="AQ56" i="1"/>
  <c r="AB57" i="1"/>
  <c r="DO56" i="1"/>
  <c r="CF48" i="1"/>
  <c r="CE48" i="1"/>
  <c r="CG48" i="1"/>
  <c r="DU48" i="1" s="1"/>
  <c r="CD48" i="1"/>
  <c r="AH48" i="1"/>
  <c r="DF48" i="1"/>
  <c r="S49" i="1"/>
  <c r="DP57" i="1" l="1"/>
  <c r="AR57" i="1"/>
  <c r="T50" i="1"/>
  <c r="DG49" i="1"/>
  <c r="AI49" i="1"/>
  <c r="BK48" i="1"/>
  <c r="BJ48" i="1"/>
  <c r="BL48" i="1"/>
  <c r="BM48" i="1"/>
  <c r="EK48" i="1" s="1"/>
  <c r="DR48" i="1"/>
  <c r="AE49" i="1"/>
  <c r="EC47" i="1"/>
  <c r="DS48" i="1"/>
  <c r="AF49" i="1"/>
  <c r="DT48" i="1"/>
  <c r="AG49" i="1"/>
  <c r="AW49" i="1" s="1"/>
  <c r="EF46" i="1"/>
  <c r="CN48" i="1" l="1"/>
  <c r="CZ48" i="1" s="1"/>
  <c r="BE49" i="1" s="1"/>
  <c r="CM48" i="1"/>
  <c r="CY48" i="1" s="1"/>
  <c r="BD49" i="1" s="1"/>
  <c r="EJ48" i="1"/>
  <c r="EG46" i="1"/>
  <c r="EL46" i="1" s="1"/>
  <c r="EN46" i="1" s="1"/>
  <c r="EP46" i="1" s="1"/>
  <c r="ER46" i="1" s="1"/>
  <c r="BP46" i="1"/>
  <c r="R49" i="1" s="1"/>
  <c r="BN46" i="1"/>
  <c r="CS48" i="1"/>
  <c r="DE48" i="1" s="1"/>
  <c r="CP48" i="1"/>
  <c r="DB48" i="1" s="1"/>
  <c r="BG49" i="1" s="1"/>
  <c r="ED47" i="1"/>
  <c r="CI48" i="1"/>
  <c r="CU48" i="1" s="1"/>
  <c r="AZ49" i="1" s="1"/>
  <c r="CQ48" i="1"/>
  <c r="DC48" i="1" s="1"/>
  <c r="BH49" i="1" s="1"/>
  <c r="AU49" i="1"/>
  <c r="CJ48" i="1"/>
  <c r="CV48" i="1" s="1"/>
  <c r="BA49" i="1" s="1"/>
  <c r="EH48" i="1"/>
  <c r="AC49" i="1"/>
  <c r="DH50" i="1"/>
  <c r="AJ50" i="1"/>
  <c r="U51" i="1"/>
  <c r="AV49" i="1"/>
  <c r="CK48" i="1"/>
  <c r="CW48" i="1" s="1"/>
  <c r="BB49" i="1" s="1"/>
  <c r="EI48" i="1"/>
  <c r="CL48" i="1"/>
  <c r="CX48" i="1" s="1"/>
  <c r="BC49" i="1" s="1"/>
  <c r="CR48" i="1"/>
  <c r="DD48" i="1" s="1"/>
  <c r="BI49" i="1" s="1"/>
  <c r="CO48" i="1"/>
  <c r="DA48" i="1" s="1"/>
  <c r="BF49" i="1" s="1"/>
  <c r="BO48" i="1"/>
  <c r="BQ48" i="1"/>
  <c r="AD49" i="1" s="1"/>
  <c r="CH48" i="1"/>
  <c r="CT48" i="1" s="1"/>
  <c r="AX48" i="1" s="1"/>
  <c r="AY49" i="1" s="1"/>
  <c r="DQ49" i="1" l="1"/>
  <c r="AS49" i="1"/>
  <c r="EM48" i="1"/>
  <c r="EO48" i="1" s="1"/>
  <c r="EQ48" i="1" s="1"/>
  <c r="ES48" i="1" s="1"/>
  <c r="DV48" i="1"/>
  <c r="EE47" i="1"/>
  <c r="AT49" i="1"/>
  <c r="DI51" i="1"/>
  <c r="AK51" i="1"/>
  <c r="V52" i="1"/>
  <c r="S50" i="1"/>
  <c r="CE49" i="1"/>
  <c r="CD49" i="1"/>
  <c r="CG49" i="1"/>
  <c r="DU49" i="1" s="1"/>
  <c r="CF49" i="1"/>
  <c r="AH49" i="1"/>
  <c r="DF49" i="1"/>
  <c r="EF47" i="1" l="1"/>
  <c r="DJ52" i="1"/>
  <c r="AL52" i="1"/>
  <c r="W53" i="1"/>
  <c r="BJ49" i="1"/>
  <c r="BM49" i="1"/>
  <c r="EK49" i="1" s="1"/>
  <c r="BK49" i="1"/>
  <c r="BL49" i="1"/>
  <c r="DR49" i="1"/>
  <c r="AE50" i="1"/>
  <c r="DT49" i="1"/>
  <c r="AG50" i="1"/>
  <c r="AW50" i="1" s="1"/>
  <c r="DS49" i="1"/>
  <c r="AF50" i="1"/>
  <c r="DW48" i="1"/>
  <c r="T51" i="1"/>
  <c r="AI50" i="1"/>
  <c r="DG50" i="1"/>
  <c r="CP49" i="1" l="1"/>
  <c r="DB49" i="1" s="1"/>
  <c r="BG50" i="1" s="1"/>
  <c r="CS49" i="1"/>
  <c r="DE49" i="1" s="1"/>
  <c r="CI49" i="1"/>
  <c r="CU49" i="1" s="1"/>
  <c r="AZ50" i="1" s="1"/>
  <c r="CJ49" i="1"/>
  <c r="CV49" i="1" s="1"/>
  <c r="BA50" i="1" s="1"/>
  <c r="CL49" i="1"/>
  <c r="CX49" i="1" s="1"/>
  <c r="BC50" i="1" s="1"/>
  <c r="CK49" i="1"/>
  <c r="CW49" i="1" s="1"/>
  <c r="BB50" i="1" s="1"/>
  <c r="CM49" i="1"/>
  <c r="CY49" i="1" s="1"/>
  <c r="BD50" i="1" s="1"/>
  <c r="CR49" i="1"/>
  <c r="DD49" i="1" s="1"/>
  <c r="BI50" i="1" s="1"/>
  <c r="EI49" i="1"/>
  <c r="EH49" i="1"/>
  <c r="AC50" i="1"/>
  <c r="DK53" i="1"/>
  <c r="AM53" i="1"/>
  <c r="X54" i="1"/>
  <c r="BQ49" i="1"/>
  <c r="AD50" i="1" s="1"/>
  <c r="AU50" i="1"/>
  <c r="CQ49" i="1"/>
  <c r="DC49" i="1" s="1"/>
  <c r="BH50" i="1" s="1"/>
  <c r="BO49" i="1"/>
  <c r="CH49" i="1"/>
  <c r="CT49" i="1" s="1"/>
  <c r="AX49" i="1" s="1"/>
  <c r="AY50" i="1" s="1"/>
  <c r="DX48" i="1"/>
  <c r="EJ49" i="1"/>
  <c r="CN49" i="1"/>
  <c r="CZ49" i="1" s="1"/>
  <c r="BE50" i="1" s="1"/>
  <c r="EG47" i="1"/>
  <c r="EL47" i="1" s="1"/>
  <c r="EN47" i="1" s="1"/>
  <c r="EP47" i="1" s="1"/>
  <c r="ER47" i="1" s="1"/>
  <c r="BP47" i="1"/>
  <c r="R50" i="1" s="1"/>
  <c r="BN47" i="1"/>
  <c r="AJ51" i="1"/>
  <c r="DH51" i="1"/>
  <c r="U52" i="1"/>
  <c r="AV50" i="1"/>
  <c r="CO49" i="1"/>
  <c r="DA49" i="1" s="1"/>
  <c r="BF50" i="1" s="1"/>
  <c r="AT50" i="1" l="1"/>
  <c r="DY48" i="1"/>
  <c r="AN54" i="1"/>
  <c r="Y55" i="1"/>
  <c r="DL54" i="1"/>
  <c r="DV49" i="1"/>
  <c r="AS50" i="1"/>
  <c r="DQ50" i="1"/>
  <c r="EM49" i="1"/>
  <c r="EO49" i="1" s="1"/>
  <c r="EQ49" i="1" s="1"/>
  <c r="ES49" i="1" s="1"/>
  <c r="CE50" i="1"/>
  <c r="CG50" i="1"/>
  <c r="DU50" i="1" s="1"/>
  <c r="CD50" i="1"/>
  <c r="CF50" i="1"/>
  <c r="S51" i="1"/>
  <c r="DF50" i="1"/>
  <c r="AH50" i="1"/>
  <c r="AK52" i="1"/>
  <c r="DI52" i="1"/>
  <c r="V53" i="1"/>
  <c r="DT50" i="1" l="1"/>
  <c r="AG51" i="1"/>
  <c r="AW51" i="1" s="1"/>
  <c r="DR50" i="1"/>
  <c r="DZ48" i="1"/>
  <c r="AL53" i="1"/>
  <c r="W54" i="1"/>
  <c r="DJ53" i="1"/>
  <c r="DW49" i="1"/>
  <c r="AE51" i="1"/>
  <c r="BK50" i="1"/>
  <c r="BJ50" i="1"/>
  <c r="BM50" i="1"/>
  <c r="EK50" i="1" s="1"/>
  <c r="BL50" i="1"/>
  <c r="DS50" i="1"/>
  <c r="AF51" i="1"/>
  <c r="DG51" i="1"/>
  <c r="AI51" i="1"/>
  <c r="T52" i="1"/>
  <c r="DM55" i="1"/>
  <c r="Z56" i="1"/>
  <c r="AO55" i="1"/>
  <c r="CR50" i="1" l="1"/>
  <c r="DD50" i="1" s="1"/>
  <c r="BI51" i="1" s="1"/>
  <c r="CJ50" i="1"/>
  <c r="CV50" i="1" s="1"/>
  <c r="BA51" i="1" s="1"/>
  <c r="AU51" i="1"/>
  <c r="CM50" i="1"/>
  <c r="CY50" i="1" s="1"/>
  <c r="BD51" i="1" s="1"/>
  <c r="AJ52" i="1"/>
  <c r="DH52" i="1"/>
  <c r="U53" i="1"/>
  <c r="CQ50" i="1"/>
  <c r="DC50" i="1" s="1"/>
  <c r="BH51" i="1" s="1"/>
  <c r="BQ50" i="1"/>
  <c r="AD51" i="1" s="1"/>
  <c r="DX49" i="1"/>
  <c r="EA48" i="1"/>
  <c r="CO50" i="1"/>
  <c r="DA50" i="1" s="1"/>
  <c r="BF51" i="1" s="1"/>
  <c r="CS50" i="1"/>
  <c r="DE50" i="1" s="1"/>
  <c r="CP50" i="1"/>
  <c r="DB50" i="1" s="1"/>
  <c r="BG51" i="1" s="1"/>
  <c r="AV51" i="1"/>
  <c r="CI50" i="1"/>
  <c r="CU50" i="1" s="1"/>
  <c r="AZ51" i="1" s="1"/>
  <c r="EI50" i="1"/>
  <c r="DK54" i="1"/>
  <c r="X55" i="1"/>
  <c r="AM54" i="1"/>
  <c r="EH50" i="1"/>
  <c r="AC51" i="1"/>
  <c r="CH50" i="1"/>
  <c r="CT50" i="1" s="1"/>
  <c r="AX50" i="1" s="1"/>
  <c r="AY51" i="1" s="1"/>
  <c r="AP56" i="1"/>
  <c r="AA57" i="1"/>
  <c r="DN56" i="1"/>
  <c r="CN50" i="1"/>
  <c r="CZ50" i="1" s="1"/>
  <c r="BE51" i="1" s="1"/>
  <c r="BO50" i="1"/>
  <c r="CK50" i="1"/>
  <c r="CW50" i="1" s="1"/>
  <c r="BB51" i="1" s="1"/>
  <c r="CL50" i="1"/>
  <c r="CX50" i="1" s="1"/>
  <c r="BC51" i="1" s="1"/>
  <c r="EJ50" i="1"/>
  <c r="AS51" i="1" l="1"/>
  <c r="DQ51" i="1"/>
  <c r="EB48" i="1"/>
  <c r="DI53" i="1"/>
  <c r="V54" i="1"/>
  <c r="AK53" i="1"/>
  <c r="EM50" i="1"/>
  <c r="EO50" i="1" s="1"/>
  <c r="EQ50" i="1" s="1"/>
  <c r="ES50" i="1" s="1"/>
  <c r="Y56" i="1"/>
  <c r="DL55" i="1"/>
  <c r="AN55" i="1"/>
  <c r="DY49" i="1"/>
  <c r="DO57" i="1"/>
  <c r="AB58" i="1"/>
  <c r="AQ57" i="1"/>
  <c r="AT51" i="1"/>
  <c r="DV50" i="1"/>
  <c r="AO56" i="1" l="1"/>
  <c r="DM56" i="1"/>
  <c r="Z57" i="1"/>
  <c r="DP58" i="1"/>
  <c r="AR58" i="1"/>
  <c r="DW50" i="1"/>
  <c r="EC48" i="1"/>
  <c r="AL54" i="1"/>
  <c r="DJ54" i="1"/>
  <c r="W55" i="1"/>
  <c r="DZ49" i="1"/>
  <c r="DX50" i="1" l="1"/>
  <c r="AM55" i="1"/>
  <c r="X56" i="1"/>
  <c r="DK55" i="1"/>
  <c r="AA58" i="1"/>
  <c r="DN57" i="1"/>
  <c r="AP57" i="1"/>
  <c r="EA49" i="1"/>
  <c r="ED48" i="1"/>
  <c r="AN56" i="1" l="1"/>
  <c r="DL56" i="1"/>
  <c r="Y57" i="1"/>
  <c r="EB49" i="1"/>
  <c r="AB59" i="1"/>
  <c r="AQ58" i="1"/>
  <c r="DO58" i="1"/>
  <c r="EE48" i="1"/>
  <c r="DY50" i="1"/>
  <c r="DP59" i="1" l="1"/>
  <c r="AR59" i="1"/>
  <c r="EC49" i="1"/>
  <c r="DZ50" i="1"/>
  <c r="Z58" i="1"/>
  <c r="DM57" i="1"/>
  <c r="AO57" i="1"/>
  <c r="EF48" i="1"/>
  <c r="EA50" i="1" l="1"/>
  <c r="AP58" i="1"/>
  <c r="AA59" i="1"/>
  <c r="DN58" i="1"/>
  <c r="ED49" i="1"/>
  <c r="EG48" i="1"/>
  <c r="EL48" i="1" s="1"/>
  <c r="EN48" i="1" s="1"/>
  <c r="EP48" i="1" s="1"/>
  <c r="ER48" i="1" s="1"/>
  <c r="BP48" i="1"/>
  <c r="R51" i="1" s="1"/>
  <c r="BN48" i="1"/>
  <c r="EE49" i="1" l="1"/>
  <c r="AB60" i="1"/>
  <c r="DO59" i="1"/>
  <c r="AQ59" i="1"/>
  <c r="S52" i="1"/>
  <c r="AH51" i="1"/>
  <c r="DF51" i="1"/>
  <c r="CG51" i="1"/>
  <c r="DU51" i="1" s="1"/>
  <c r="CD51" i="1"/>
  <c r="CE51" i="1"/>
  <c r="CF51" i="1"/>
  <c r="EB50" i="1"/>
  <c r="BL51" i="1" l="1"/>
  <c r="BK51" i="1"/>
  <c r="BJ51" i="1"/>
  <c r="BM51" i="1"/>
  <c r="EK51" i="1" s="1"/>
  <c r="EC50" i="1"/>
  <c r="DG52" i="1"/>
  <c r="AI52" i="1"/>
  <c r="T53" i="1"/>
  <c r="DT51" i="1"/>
  <c r="AG52" i="1"/>
  <c r="AW52" i="1" s="1"/>
  <c r="DS51" i="1"/>
  <c r="AF52" i="1"/>
  <c r="DP60" i="1"/>
  <c r="AR60" i="1"/>
  <c r="AE52" i="1"/>
  <c r="DR51" i="1"/>
  <c r="EF49" i="1"/>
  <c r="EJ51" i="1" l="1"/>
  <c r="EI51" i="1"/>
  <c r="CI51" i="1"/>
  <c r="CU51" i="1" s="1"/>
  <c r="AZ52" i="1" s="1"/>
  <c r="CS51" i="1"/>
  <c r="DE51" i="1" s="1"/>
  <c r="CJ51" i="1"/>
  <c r="CV51" i="1" s="1"/>
  <c r="BA52" i="1" s="1"/>
  <c r="CK51" i="1"/>
  <c r="CW51" i="1" s="1"/>
  <c r="BB52" i="1" s="1"/>
  <c r="CN51" i="1"/>
  <c r="CZ51" i="1" s="1"/>
  <c r="BE52" i="1" s="1"/>
  <c r="CM51" i="1"/>
  <c r="CY51" i="1" s="1"/>
  <c r="BD52" i="1" s="1"/>
  <c r="CQ51" i="1"/>
  <c r="DC51" i="1" s="1"/>
  <c r="BH52" i="1" s="1"/>
  <c r="CL51" i="1"/>
  <c r="CX51" i="1" s="1"/>
  <c r="BC52" i="1" s="1"/>
  <c r="CO51" i="1"/>
  <c r="DA51" i="1" s="1"/>
  <c r="BF52" i="1" s="1"/>
  <c r="CP51" i="1"/>
  <c r="DB51" i="1" s="1"/>
  <c r="BG52" i="1" s="1"/>
  <c r="ED50" i="1"/>
  <c r="EG49" i="1"/>
  <c r="EL49" i="1" s="1"/>
  <c r="EN49" i="1" s="1"/>
  <c r="EP49" i="1" s="1"/>
  <c r="ER49" i="1" s="1"/>
  <c r="BP49" i="1"/>
  <c r="R52" i="1" s="1"/>
  <c r="BN49" i="1"/>
  <c r="AC52" i="1"/>
  <c r="EH51" i="1"/>
  <c r="AU52" i="1"/>
  <c r="AJ53" i="1"/>
  <c r="DH53" i="1"/>
  <c r="U54" i="1"/>
  <c r="CR51" i="1"/>
  <c r="DD51" i="1" s="1"/>
  <c r="BI52" i="1" s="1"/>
  <c r="BO51" i="1"/>
  <c r="BQ51" i="1"/>
  <c r="AD52" i="1" s="1"/>
  <c r="CH51" i="1"/>
  <c r="CT51" i="1" s="1"/>
  <c r="AX51" i="1" s="1"/>
  <c r="AY52" i="1" s="1"/>
  <c r="AV52" i="1"/>
  <c r="EM51" i="1" l="1"/>
  <c r="EO51" i="1" s="1"/>
  <c r="EQ51" i="1" s="1"/>
  <c r="ES51" i="1" s="1"/>
  <c r="AT52" i="1"/>
  <c r="AS52" i="1"/>
  <c r="DQ52" i="1"/>
  <c r="DV51" i="1"/>
  <c r="S53" i="1"/>
  <c r="CE52" i="1"/>
  <c r="CG52" i="1"/>
  <c r="DU52" i="1" s="1"/>
  <c r="CD52" i="1"/>
  <c r="CF52" i="1"/>
  <c r="AH52" i="1"/>
  <c r="DF52" i="1"/>
  <c r="V55" i="1"/>
  <c r="AK54" i="1"/>
  <c r="DI54" i="1"/>
  <c r="EE50" i="1"/>
  <c r="DT52" i="1" l="1"/>
  <c r="AG53" i="1"/>
  <c r="AW53" i="1" s="1"/>
  <c r="DW51" i="1"/>
  <c r="DR52" i="1"/>
  <c r="BM52" i="1"/>
  <c r="EK52" i="1" s="1"/>
  <c r="BJ52" i="1"/>
  <c r="BK52" i="1"/>
  <c r="BL52" i="1"/>
  <c r="AL55" i="1"/>
  <c r="W56" i="1"/>
  <c r="DJ55" i="1"/>
  <c r="DS52" i="1"/>
  <c r="AF53" i="1"/>
  <c r="EF50" i="1"/>
  <c r="AI53" i="1"/>
  <c r="DG53" i="1"/>
  <c r="T54" i="1"/>
  <c r="AE53" i="1"/>
  <c r="CS52" i="1" l="1"/>
  <c r="DE52" i="1" s="1"/>
  <c r="CI52" i="1"/>
  <c r="CU52" i="1" s="1"/>
  <c r="AZ53" i="1" s="1"/>
  <c r="CO52" i="1"/>
  <c r="DA52" i="1" s="1"/>
  <c r="BF53" i="1" s="1"/>
  <c r="BQ52" i="1"/>
  <c r="AD53" i="1" s="1"/>
  <c r="AT53" i="1" s="1"/>
  <c r="CH52" i="1"/>
  <c r="CT52" i="1" s="1"/>
  <c r="AX52" i="1" s="1"/>
  <c r="AY53" i="1" s="1"/>
  <c r="CL52" i="1"/>
  <c r="CX52" i="1" s="1"/>
  <c r="BC53" i="1" s="1"/>
  <c r="CR52" i="1"/>
  <c r="DD52" i="1" s="1"/>
  <c r="BI53" i="1" s="1"/>
  <c r="CP52" i="1"/>
  <c r="DB52" i="1" s="1"/>
  <c r="BG53" i="1" s="1"/>
  <c r="AJ54" i="1"/>
  <c r="DH54" i="1"/>
  <c r="U55" i="1"/>
  <c r="CJ52" i="1"/>
  <c r="CV52" i="1" s="1"/>
  <c r="BA53" i="1" s="1"/>
  <c r="EH52" i="1"/>
  <c r="AC53" i="1"/>
  <c r="CK52" i="1"/>
  <c r="CW52" i="1" s="1"/>
  <c r="BB53" i="1" s="1"/>
  <c r="EG50" i="1"/>
  <c r="EL50" i="1" s="1"/>
  <c r="EN50" i="1" s="1"/>
  <c r="EP50" i="1" s="1"/>
  <c r="ER50" i="1" s="1"/>
  <c r="BP50" i="1"/>
  <c r="R53" i="1" s="1"/>
  <c r="BN50" i="1"/>
  <c r="DX51" i="1"/>
  <c r="AM56" i="1"/>
  <c r="DK56" i="1"/>
  <c r="X57" i="1"/>
  <c r="AV53" i="1"/>
  <c r="CQ52" i="1"/>
  <c r="DC52" i="1" s="1"/>
  <c r="BH53" i="1" s="1"/>
  <c r="BO52" i="1"/>
  <c r="CM52" i="1"/>
  <c r="CY52" i="1" s="1"/>
  <c r="BD53" i="1" s="1"/>
  <c r="AU53" i="1"/>
  <c r="EI52" i="1"/>
  <c r="CN52" i="1"/>
  <c r="CZ52" i="1" s="1"/>
  <c r="BE53" i="1" s="1"/>
  <c r="EJ52" i="1"/>
  <c r="DV52" i="1" l="1"/>
  <c r="DY51" i="1"/>
  <c r="DW52" i="1"/>
  <c r="DI55" i="1"/>
  <c r="V56" i="1"/>
  <c r="AK55" i="1"/>
  <c r="CD53" i="1"/>
  <c r="CE53" i="1"/>
  <c r="CF53" i="1"/>
  <c r="CG53" i="1"/>
  <c r="DU53" i="1" s="1"/>
  <c r="DF53" i="1"/>
  <c r="AH53" i="1"/>
  <c r="S54" i="1"/>
  <c r="AS53" i="1"/>
  <c r="DQ53" i="1"/>
  <c r="DL57" i="1"/>
  <c r="Y58" i="1"/>
  <c r="AN57" i="1"/>
  <c r="EM52" i="1"/>
  <c r="EO52" i="1" s="1"/>
  <c r="EQ52" i="1" s="1"/>
  <c r="ES52" i="1" s="1"/>
  <c r="T55" i="1" l="1"/>
  <c r="DG54" i="1"/>
  <c r="AI54" i="1"/>
  <c r="Z59" i="1"/>
  <c r="DM58" i="1"/>
  <c r="AO58" i="1"/>
  <c r="BJ53" i="1"/>
  <c r="BM53" i="1"/>
  <c r="EK53" i="1" s="1"/>
  <c r="BK53" i="1"/>
  <c r="BL53" i="1"/>
  <c r="DX52" i="1"/>
  <c r="DT53" i="1"/>
  <c r="AG54" i="1"/>
  <c r="AW54" i="1" s="1"/>
  <c r="DS53" i="1"/>
  <c r="AF54" i="1"/>
  <c r="AL56" i="1"/>
  <c r="DJ56" i="1"/>
  <c r="W57" i="1"/>
  <c r="DR53" i="1"/>
  <c r="AE54" i="1"/>
  <c r="DZ51" i="1"/>
  <c r="CN53" i="1" l="1"/>
  <c r="CZ53" i="1" s="1"/>
  <c r="BE54" i="1" s="1"/>
  <c r="EI53" i="1"/>
  <c r="EJ53" i="1"/>
  <c r="CR53" i="1"/>
  <c r="DD53" i="1" s="1"/>
  <c r="BI54" i="1" s="1"/>
  <c r="CO53" i="1"/>
  <c r="DA53" i="1" s="1"/>
  <c r="BF54" i="1" s="1"/>
  <c r="CP53" i="1"/>
  <c r="DB53" i="1" s="1"/>
  <c r="BG54" i="1" s="1"/>
  <c r="CQ53" i="1"/>
  <c r="DC53" i="1" s="1"/>
  <c r="BH54" i="1" s="1"/>
  <c r="CH53" i="1"/>
  <c r="CT53" i="1" s="1"/>
  <c r="CK53" i="1"/>
  <c r="CW53" i="1" s="1"/>
  <c r="BB54" i="1" s="1"/>
  <c r="CJ53" i="1"/>
  <c r="CV53" i="1" s="1"/>
  <c r="BA54" i="1" s="1"/>
  <c r="CL53" i="1"/>
  <c r="CX53" i="1" s="1"/>
  <c r="BC54" i="1" s="1"/>
  <c r="CM53" i="1"/>
  <c r="CY53" i="1" s="1"/>
  <c r="BD54" i="1" s="1"/>
  <c r="DY52" i="1"/>
  <c r="AV54" i="1"/>
  <c r="EA51" i="1"/>
  <c r="AA60" i="1"/>
  <c r="AP59" i="1"/>
  <c r="DN59" i="1"/>
  <c r="AU54" i="1"/>
  <c r="EH53" i="1"/>
  <c r="AC54" i="1"/>
  <c r="DK57" i="1"/>
  <c r="X58" i="1"/>
  <c r="AM57" i="1"/>
  <c r="CI53" i="1"/>
  <c r="CU53" i="1" s="1"/>
  <c r="AZ54" i="1" s="1"/>
  <c r="BO53" i="1"/>
  <c r="BQ53" i="1"/>
  <c r="AD54" i="1" s="1"/>
  <c r="CS53" i="1"/>
  <c r="DE53" i="1" s="1"/>
  <c r="DH55" i="1"/>
  <c r="AJ55" i="1"/>
  <c r="U56" i="1"/>
  <c r="EM53" i="1" l="1"/>
  <c r="EO53" i="1" s="1"/>
  <c r="EQ53" i="1" s="1"/>
  <c r="ES53" i="1" s="1"/>
  <c r="AX53" i="1"/>
  <c r="AY54" i="1" s="1"/>
  <c r="AN58" i="1"/>
  <c r="Y59" i="1"/>
  <c r="DL58" i="1"/>
  <c r="AB61" i="1"/>
  <c r="DO60" i="1"/>
  <c r="AQ60" i="1"/>
  <c r="AT54" i="1"/>
  <c r="AS54" i="1"/>
  <c r="DQ54" i="1"/>
  <c r="EB51" i="1"/>
  <c r="DI56" i="1"/>
  <c r="AK56" i="1"/>
  <c r="V57" i="1"/>
  <c r="DZ52" i="1"/>
  <c r="DW53" i="1" l="1"/>
  <c r="DV53" i="1"/>
  <c r="DM59" i="1"/>
  <c r="AO59" i="1"/>
  <c r="Z60" i="1"/>
  <c r="AL57" i="1"/>
  <c r="DJ57" i="1"/>
  <c r="W58" i="1"/>
  <c r="EC51" i="1"/>
  <c r="AR61" i="1"/>
  <c r="DP61" i="1"/>
  <c r="EA52" i="1"/>
  <c r="DX53" i="1"/>
  <c r="DY53" i="1" l="1"/>
  <c r="AA61" i="1"/>
  <c r="DN60" i="1"/>
  <c r="AP60" i="1"/>
  <c r="ED51" i="1"/>
  <c r="EB52" i="1"/>
  <c r="DK58" i="1"/>
  <c r="AM58" i="1"/>
  <c r="X59" i="1"/>
  <c r="Y60" i="1" l="1"/>
  <c r="DL59" i="1"/>
  <c r="AN59" i="1"/>
  <c r="AQ61" i="1"/>
  <c r="AB62" i="1"/>
  <c r="DO61" i="1"/>
  <c r="EC52" i="1"/>
  <c r="DZ53" i="1"/>
  <c r="EE51" i="1"/>
  <c r="EF51" i="1" l="1"/>
  <c r="ED52" i="1"/>
  <c r="AR62" i="1"/>
  <c r="DP62" i="1"/>
  <c r="EA53" i="1"/>
  <c r="DM60" i="1"/>
  <c r="AO60" i="1"/>
  <c r="Z61" i="1"/>
  <c r="EB53" i="1" l="1"/>
  <c r="AP61" i="1"/>
  <c r="AA62" i="1"/>
  <c r="DN61" i="1"/>
  <c r="EE52" i="1"/>
  <c r="EG51" i="1"/>
  <c r="EL51" i="1" s="1"/>
  <c r="EN51" i="1" s="1"/>
  <c r="EP51" i="1" s="1"/>
  <c r="ER51" i="1" s="1"/>
  <c r="BP51" i="1"/>
  <c r="R54" i="1" s="1"/>
  <c r="BN51" i="1"/>
  <c r="EF52" i="1" l="1"/>
  <c r="DO62" i="1"/>
  <c r="AB63" i="1"/>
  <c r="AQ62" i="1"/>
  <c r="AH54" i="1"/>
  <c r="DF54" i="1"/>
  <c r="CG54" i="1"/>
  <c r="DU54" i="1" s="1"/>
  <c r="CE54" i="1"/>
  <c r="CD54" i="1"/>
  <c r="CF54" i="1"/>
  <c r="S55" i="1"/>
  <c r="EC53" i="1"/>
  <c r="ED53" i="1" l="1"/>
  <c r="BM54" i="1"/>
  <c r="EK54" i="1" s="1"/>
  <c r="BL54" i="1"/>
  <c r="BK54" i="1"/>
  <c r="BJ54" i="1"/>
  <c r="T56" i="1"/>
  <c r="DG55" i="1"/>
  <c r="AI55" i="1"/>
  <c r="AR63" i="1"/>
  <c r="DP63" i="1"/>
  <c r="DT54" i="1"/>
  <c r="AG55" i="1"/>
  <c r="AW55" i="1" s="1"/>
  <c r="DR54" i="1"/>
  <c r="AE55" i="1"/>
  <c r="DS54" i="1"/>
  <c r="AF55" i="1"/>
  <c r="EG52" i="1"/>
  <c r="EL52" i="1" s="1"/>
  <c r="EN52" i="1" s="1"/>
  <c r="EP52" i="1" s="1"/>
  <c r="ER52" i="1" s="1"/>
  <c r="BN52" i="1"/>
  <c r="BP52" i="1"/>
  <c r="R55" i="1" s="1"/>
  <c r="CM54" i="1" l="1"/>
  <c r="CY54" i="1" s="1"/>
  <c r="BD55" i="1" s="1"/>
  <c r="CN54" i="1"/>
  <c r="CZ54" i="1" s="1"/>
  <c r="BE55" i="1" s="1"/>
  <c r="CO54" i="1"/>
  <c r="DA54" i="1" s="1"/>
  <c r="BF55" i="1" s="1"/>
  <c r="CS54" i="1"/>
  <c r="DE54" i="1" s="1"/>
  <c r="CL54" i="1"/>
  <c r="CX54" i="1" s="1"/>
  <c r="BC55" i="1" s="1"/>
  <c r="CK54" i="1"/>
  <c r="CW54" i="1" s="1"/>
  <c r="BB55" i="1" s="1"/>
  <c r="EH54" i="1"/>
  <c r="AC55" i="1"/>
  <c r="CG55" i="1" s="1"/>
  <c r="DU55" i="1" s="1"/>
  <c r="DH56" i="1"/>
  <c r="AJ56" i="1"/>
  <c r="U57" i="1"/>
  <c r="BO54" i="1"/>
  <c r="BQ54" i="1"/>
  <c r="AD55" i="1" s="1"/>
  <c r="CH54" i="1"/>
  <c r="CT54" i="1" s="1"/>
  <c r="AX54" i="1" s="1"/>
  <c r="AY55" i="1" s="1"/>
  <c r="EI54" i="1"/>
  <c r="EJ54" i="1"/>
  <c r="AV55" i="1"/>
  <c r="CP54" i="1"/>
  <c r="DB54" i="1" s="1"/>
  <c r="BG55" i="1" s="1"/>
  <c r="AU55" i="1"/>
  <c r="CI54" i="1"/>
  <c r="CU54" i="1" s="1"/>
  <c r="AZ55" i="1" s="1"/>
  <c r="CR54" i="1"/>
  <c r="DD54" i="1" s="1"/>
  <c r="BI55" i="1" s="1"/>
  <c r="EE53" i="1"/>
  <c r="AH55" i="1"/>
  <c r="DF55" i="1"/>
  <c r="S56" i="1"/>
  <c r="CJ54" i="1"/>
  <c r="CV54" i="1" s="1"/>
  <c r="BA55" i="1" s="1"/>
  <c r="CQ54" i="1"/>
  <c r="DC54" i="1" s="1"/>
  <c r="BH55" i="1" s="1"/>
  <c r="CF55" i="1" l="1"/>
  <c r="DT55" i="1" s="1"/>
  <c r="CE55" i="1"/>
  <c r="DS55" i="1" s="1"/>
  <c r="CD55" i="1"/>
  <c r="AE56" i="1" s="1"/>
  <c r="AT55" i="1"/>
  <c r="BK55" i="1" s="1"/>
  <c r="T57" i="1"/>
  <c r="AI56" i="1"/>
  <c r="DG56" i="1"/>
  <c r="DI57" i="1"/>
  <c r="AK57" i="1"/>
  <c r="V58" i="1"/>
  <c r="EF53" i="1"/>
  <c r="DQ55" i="1"/>
  <c r="AS55" i="1"/>
  <c r="DV54" i="1"/>
  <c r="EM54" i="1"/>
  <c r="EO54" i="1" s="1"/>
  <c r="EQ54" i="1" s="1"/>
  <c r="ES54" i="1" s="1"/>
  <c r="BL55" i="1" l="1"/>
  <c r="EJ55" i="1" s="1"/>
  <c r="AG56" i="1"/>
  <c r="AW56" i="1" s="1"/>
  <c r="BJ55" i="1"/>
  <c r="DR55" i="1"/>
  <c r="AC56" i="1" s="1"/>
  <c r="BM55" i="1"/>
  <c r="EK55" i="1" s="1"/>
  <c r="EI55" i="1"/>
  <c r="AF56" i="1"/>
  <c r="AV56" i="1" s="1"/>
  <c r="DW54" i="1"/>
  <c r="EG53" i="1"/>
  <c r="EL53" i="1" s="1"/>
  <c r="EN53" i="1" s="1"/>
  <c r="EP53" i="1" s="1"/>
  <c r="ER53" i="1" s="1"/>
  <c r="BP53" i="1"/>
  <c r="R56" i="1" s="1"/>
  <c r="BN53" i="1"/>
  <c r="AU56" i="1"/>
  <c r="AJ57" i="1"/>
  <c r="DH57" i="1"/>
  <c r="U58" i="1"/>
  <c r="DJ58" i="1"/>
  <c r="W59" i="1"/>
  <c r="AL58" i="1"/>
  <c r="CH55" i="1" l="1"/>
  <c r="CT55" i="1" s="1"/>
  <c r="AX55" i="1" s="1"/>
  <c r="AY56" i="1" s="1"/>
  <c r="CN55" i="1"/>
  <c r="CZ55" i="1" s="1"/>
  <c r="BE56" i="1" s="1"/>
  <c r="EH55" i="1"/>
  <c r="EM55" i="1" s="1"/>
  <c r="EO55" i="1" s="1"/>
  <c r="EQ55" i="1" s="1"/>
  <c r="ES55" i="1" s="1"/>
  <c r="CR55" i="1"/>
  <c r="DD55" i="1" s="1"/>
  <c r="BI56" i="1" s="1"/>
  <c r="BO55" i="1"/>
  <c r="CI55" i="1"/>
  <c r="CU55" i="1" s="1"/>
  <c r="AZ56" i="1" s="1"/>
  <c r="CO55" i="1"/>
  <c r="DA55" i="1" s="1"/>
  <c r="BF56" i="1" s="1"/>
  <c r="CP55" i="1"/>
  <c r="DB55" i="1" s="1"/>
  <c r="BG56" i="1" s="1"/>
  <c r="BQ55" i="1"/>
  <c r="AD56" i="1" s="1"/>
  <c r="AT56" i="1" s="1"/>
  <c r="CM55" i="1"/>
  <c r="CY55" i="1" s="1"/>
  <c r="BD56" i="1" s="1"/>
  <c r="CQ55" i="1"/>
  <c r="DC55" i="1" s="1"/>
  <c r="BH56" i="1" s="1"/>
  <c r="CK55" i="1"/>
  <c r="CW55" i="1" s="1"/>
  <c r="BB56" i="1" s="1"/>
  <c r="CJ55" i="1"/>
  <c r="CV55" i="1" s="1"/>
  <c r="BA56" i="1" s="1"/>
  <c r="CS55" i="1"/>
  <c r="DE55" i="1" s="1"/>
  <c r="CL55" i="1"/>
  <c r="CX55" i="1" s="1"/>
  <c r="BC56" i="1" s="1"/>
  <c r="DF56" i="1"/>
  <c r="S57" i="1"/>
  <c r="CF56" i="1"/>
  <c r="CE56" i="1"/>
  <c r="AH56" i="1"/>
  <c r="CD56" i="1"/>
  <c r="CG56" i="1"/>
  <c r="DU56" i="1" s="1"/>
  <c r="DI58" i="1"/>
  <c r="AK58" i="1"/>
  <c r="V59" i="1"/>
  <c r="DQ56" i="1"/>
  <c r="AS56" i="1"/>
  <c r="AM59" i="1"/>
  <c r="DK59" i="1"/>
  <c r="X60" i="1"/>
  <c r="DX54" i="1"/>
  <c r="DV55" i="1" l="1"/>
  <c r="DW55" i="1"/>
  <c r="DL60" i="1"/>
  <c r="AN60" i="1"/>
  <c r="Y61" i="1"/>
  <c r="W60" i="1"/>
  <c r="AL59" i="1"/>
  <c r="DJ59" i="1"/>
  <c r="DR56" i="1"/>
  <c r="DY54" i="1"/>
  <c r="BL56" i="1"/>
  <c r="BK56" i="1"/>
  <c r="BJ56" i="1"/>
  <c r="BM56" i="1"/>
  <c r="EK56" i="1" s="1"/>
  <c r="DS56" i="1"/>
  <c r="AF57" i="1"/>
  <c r="DT56" i="1"/>
  <c r="AG57" i="1"/>
  <c r="AW57" i="1" s="1"/>
  <c r="AE57" i="1"/>
  <c r="AI57" i="1"/>
  <c r="DG57" i="1"/>
  <c r="T58" i="1"/>
  <c r="EI56" i="1" l="1"/>
  <c r="BQ56" i="1"/>
  <c r="AD57" i="1" s="1"/>
  <c r="AT57" i="1" s="1"/>
  <c r="CI56" i="1"/>
  <c r="CU56" i="1" s="1"/>
  <c r="AZ57" i="1" s="1"/>
  <c r="U59" i="1"/>
  <c r="AJ58" i="1"/>
  <c r="DH58" i="1"/>
  <c r="CR56" i="1"/>
  <c r="DD56" i="1" s="1"/>
  <c r="BI57" i="1" s="1"/>
  <c r="DZ54" i="1"/>
  <c r="CO56" i="1"/>
  <c r="DA56" i="1" s="1"/>
  <c r="BF57" i="1" s="1"/>
  <c r="DM61" i="1"/>
  <c r="AO61" i="1"/>
  <c r="Z62" i="1"/>
  <c r="EH56" i="1"/>
  <c r="AC57" i="1"/>
  <c r="AU57" i="1"/>
  <c r="BO56" i="1"/>
  <c r="CS56" i="1"/>
  <c r="DE56" i="1" s="1"/>
  <c r="CJ56" i="1"/>
  <c r="CV56" i="1" s="1"/>
  <c r="BA57" i="1" s="1"/>
  <c r="CP56" i="1"/>
  <c r="DB56" i="1" s="1"/>
  <c r="BG57" i="1" s="1"/>
  <c r="CK56" i="1"/>
  <c r="CW56" i="1" s="1"/>
  <c r="BB57" i="1" s="1"/>
  <c r="CL56" i="1"/>
  <c r="CX56" i="1" s="1"/>
  <c r="BC57" i="1" s="1"/>
  <c r="CM56" i="1"/>
  <c r="CY56" i="1" s="1"/>
  <c r="BD57" i="1" s="1"/>
  <c r="EJ56" i="1"/>
  <c r="CN56" i="1"/>
  <c r="CZ56" i="1" s="1"/>
  <c r="BE57" i="1" s="1"/>
  <c r="DX55" i="1"/>
  <c r="AV57" i="1"/>
  <c r="CQ56" i="1"/>
  <c r="DC56" i="1" s="1"/>
  <c r="BH57" i="1" s="1"/>
  <c r="DK60" i="1"/>
  <c r="AM60" i="1"/>
  <c r="X61" i="1"/>
  <c r="CH56" i="1"/>
  <c r="CT56" i="1" s="1"/>
  <c r="AX56" i="1" s="1"/>
  <c r="AY57" i="1" s="1"/>
  <c r="EM56" i="1" l="1"/>
  <c r="EO56" i="1" s="1"/>
  <c r="EQ56" i="1" s="1"/>
  <c r="ES56" i="1" s="1"/>
  <c r="AN61" i="1"/>
  <c r="DL61" i="1"/>
  <c r="Y62" i="1"/>
  <c r="AP62" i="1"/>
  <c r="DN62" i="1"/>
  <c r="AA63" i="1"/>
  <c r="DY55" i="1"/>
  <c r="AS57" i="1"/>
  <c r="DQ57" i="1"/>
  <c r="DV56" i="1"/>
  <c r="EA54" i="1"/>
  <c r="V60" i="1"/>
  <c r="AK59" i="1"/>
  <c r="DI59" i="1"/>
  <c r="EB54" i="1" l="1"/>
  <c r="Z63" i="1"/>
  <c r="DM62" i="1"/>
  <c r="AO62" i="1"/>
  <c r="AL60" i="1"/>
  <c r="W61" i="1"/>
  <c r="DJ60" i="1"/>
  <c r="DW56" i="1"/>
  <c r="DZ55" i="1"/>
  <c r="DO63" i="1"/>
  <c r="AQ63" i="1"/>
  <c r="AB64" i="1"/>
  <c r="EA55" i="1" l="1"/>
  <c r="DP64" i="1"/>
  <c r="AR64" i="1"/>
  <c r="DN63" i="1"/>
  <c r="AP63" i="1"/>
  <c r="AA64" i="1"/>
  <c r="DX56" i="1"/>
  <c r="DK61" i="1"/>
  <c r="X62" i="1"/>
  <c r="AM61" i="1"/>
  <c r="EC54" i="1"/>
  <c r="Y63" i="1" l="1"/>
  <c r="AN62" i="1"/>
  <c r="DL62" i="1"/>
  <c r="ED54" i="1"/>
  <c r="DY56" i="1"/>
  <c r="AQ64" i="1"/>
  <c r="DO64" i="1"/>
  <c r="AB65" i="1"/>
  <c r="EB55" i="1"/>
  <c r="DZ56" i="1" l="1"/>
  <c r="EE54" i="1"/>
  <c r="EC55" i="1"/>
  <c r="AR65" i="1"/>
  <c r="DP65" i="1"/>
  <c r="AO63" i="1"/>
  <c r="DM63" i="1"/>
  <c r="Z64" i="1"/>
  <c r="DN64" i="1" l="1"/>
  <c r="AA65" i="1"/>
  <c r="AP64" i="1"/>
  <c r="ED55" i="1"/>
  <c r="EF54" i="1"/>
  <c r="EA56" i="1"/>
  <c r="EG54" i="1" l="1"/>
  <c r="EL54" i="1" s="1"/>
  <c r="EN54" i="1" s="1"/>
  <c r="EP54" i="1" s="1"/>
  <c r="ER54" i="1" s="1"/>
  <c r="BP54" i="1"/>
  <c r="R57" i="1" s="1"/>
  <c r="BN54" i="1"/>
  <c r="EE55" i="1"/>
  <c r="EB56" i="1"/>
  <c r="AB66" i="1"/>
  <c r="AQ65" i="1"/>
  <c r="DO65" i="1"/>
  <c r="EC56" i="1" l="1"/>
  <c r="EF55" i="1"/>
  <c r="AR66" i="1"/>
  <c r="DP66" i="1"/>
  <c r="DF57" i="1"/>
  <c r="AH57" i="1"/>
  <c r="S58" i="1"/>
  <c r="CE57" i="1"/>
  <c r="CF57" i="1"/>
  <c r="CD57" i="1"/>
  <c r="CG57" i="1"/>
  <c r="DU57" i="1" s="1"/>
  <c r="BJ57" i="1" l="1"/>
  <c r="BK57" i="1"/>
  <c r="BM57" i="1"/>
  <c r="EK57" i="1" s="1"/>
  <c r="BL57" i="1"/>
  <c r="AE58" i="1"/>
  <c r="DR57" i="1"/>
  <c r="DT57" i="1"/>
  <c r="AG58" i="1"/>
  <c r="AW58" i="1" s="1"/>
  <c r="EG55" i="1"/>
  <c r="EL55" i="1" s="1"/>
  <c r="EN55" i="1" s="1"/>
  <c r="EP55" i="1" s="1"/>
  <c r="ER55" i="1" s="1"/>
  <c r="BN55" i="1"/>
  <c r="BP55" i="1"/>
  <c r="R58" i="1" s="1"/>
  <c r="DS57" i="1"/>
  <c r="AF58" i="1"/>
  <c r="DG58" i="1"/>
  <c r="T59" i="1"/>
  <c r="AI58" i="1"/>
  <c r="ED56" i="1"/>
  <c r="EI57" i="1" l="1"/>
  <c r="CO57" i="1"/>
  <c r="DA57" i="1" s="1"/>
  <c r="BF58" i="1" s="1"/>
  <c r="CP57" i="1"/>
  <c r="DB57" i="1" s="1"/>
  <c r="BG58" i="1" s="1"/>
  <c r="CN57" i="1"/>
  <c r="CZ57" i="1" s="1"/>
  <c r="BE58" i="1" s="1"/>
  <c r="EJ57" i="1"/>
  <c r="CS57" i="1"/>
  <c r="DE57" i="1" s="1"/>
  <c r="CL57" i="1"/>
  <c r="CX57" i="1" s="1"/>
  <c r="BC58" i="1" s="1"/>
  <c r="CI57" i="1"/>
  <c r="CU57" i="1" s="1"/>
  <c r="AZ58" i="1" s="1"/>
  <c r="CJ57" i="1"/>
  <c r="CV57" i="1" s="1"/>
  <c r="BA58" i="1" s="1"/>
  <c r="CK57" i="1"/>
  <c r="CW57" i="1" s="1"/>
  <c r="BB58" i="1" s="1"/>
  <c r="S59" i="1"/>
  <c r="DF58" i="1"/>
  <c r="AH58" i="1"/>
  <c r="AU58" i="1"/>
  <c r="EH57" i="1"/>
  <c r="AC58" i="1"/>
  <c r="CD58" i="1" s="1"/>
  <c r="EE56" i="1"/>
  <c r="DH59" i="1"/>
  <c r="U60" i="1"/>
  <c r="AJ59" i="1"/>
  <c r="CR57" i="1"/>
  <c r="DD57" i="1" s="1"/>
  <c r="BI58" i="1" s="1"/>
  <c r="CQ57" i="1"/>
  <c r="DC57" i="1" s="1"/>
  <c r="BH58" i="1" s="1"/>
  <c r="CM57" i="1"/>
  <c r="CY57" i="1" s="1"/>
  <c r="BD58" i="1" s="1"/>
  <c r="BO57" i="1"/>
  <c r="BQ57" i="1"/>
  <c r="AD58" i="1" s="1"/>
  <c r="AV58" i="1"/>
  <c r="CH57" i="1"/>
  <c r="CT57" i="1" s="1"/>
  <c r="AX57" i="1" s="1"/>
  <c r="AY58" i="1" s="1"/>
  <c r="EM57" i="1" l="1"/>
  <c r="EO57" i="1" s="1"/>
  <c r="EQ57" i="1" s="1"/>
  <c r="ES57" i="1" s="1"/>
  <c r="DR58" i="1"/>
  <c r="AT58" i="1"/>
  <c r="BK58" i="1" s="1"/>
  <c r="AE59" i="1"/>
  <c r="CF58" i="1"/>
  <c r="CE58" i="1"/>
  <c r="EF56" i="1"/>
  <c r="AS58" i="1"/>
  <c r="DQ58" i="1"/>
  <c r="CG58" i="1"/>
  <c r="DU58" i="1" s="1"/>
  <c r="DI60" i="1"/>
  <c r="AK60" i="1"/>
  <c r="V61" i="1"/>
  <c r="DV57" i="1"/>
  <c r="T60" i="1"/>
  <c r="AI59" i="1"/>
  <c r="DG59" i="1"/>
  <c r="BM58" i="1" l="1"/>
  <c r="EK58" i="1" s="1"/>
  <c r="DJ61" i="1"/>
  <c r="AL61" i="1"/>
  <c r="W62" i="1"/>
  <c r="DT58" i="1"/>
  <c r="AG59" i="1"/>
  <c r="AW59" i="1" s="1"/>
  <c r="U61" i="1"/>
  <c r="AJ60" i="1"/>
  <c r="DH60" i="1"/>
  <c r="AU59" i="1"/>
  <c r="BJ58" i="1"/>
  <c r="EH58" i="1" s="1"/>
  <c r="EG56" i="1"/>
  <c r="EL56" i="1" s="1"/>
  <c r="EN56" i="1" s="1"/>
  <c r="EP56" i="1" s="1"/>
  <c r="ER56" i="1" s="1"/>
  <c r="BP56" i="1"/>
  <c r="R59" i="1" s="1"/>
  <c r="BN56" i="1"/>
  <c r="DW57" i="1"/>
  <c r="BL58" i="1"/>
  <c r="DS58" i="1"/>
  <c r="EI58" i="1" s="1"/>
  <c r="AF59" i="1"/>
  <c r="AC59" i="1"/>
  <c r="BQ58" i="1" l="1"/>
  <c r="AD59" i="1" s="1"/>
  <c r="AT59" i="1" s="1"/>
  <c r="DI61" i="1"/>
  <c r="AK61" i="1"/>
  <c r="V62" i="1"/>
  <c r="EJ58" i="1"/>
  <c r="EM58" i="1" s="1"/>
  <c r="EO58" i="1" s="1"/>
  <c r="EQ58" i="1" s="1"/>
  <c r="ES58" i="1" s="1"/>
  <c r="DX57" i="1"/>
  <c r="X63" i="1"/>
  <c r="DK62" i="1"/>
  <c r="AM62" i="1"/>
  <c r="CF59" i="1"/>
  <c r="DT59" i="1" s="1"/>
  <c r="CD59" i="1"/>
  <c r="AH59" i="1"/>
  <c r="DF59" i="1"/>
  <c r="S60" i="1"/>
  <c r="CE59" i="1"/>
  <c r="CG59" i="1"/>
  <c r="DU59" i="1" s="1"/>
  <c r="AS59" i="1"/>
  <c r="DQ59" i="1"/>
  <c r="AV59" i="1"/>
  <c r="CP58" i="1"/>
  <c r="DB58" i="1" s="1"/>
  <c r="BG59" i="1" s="1"/>
  <c r="CJ58" i="1"/>
  <c r="CV58" i="1" s="1"/>
  <c r="BA59" i="1" s="1"/>
  <c r="CQ58" i="1"/>
  <c r="DC58" i="1" s="1"/>
  <c r="BH59" i="1" s="1"/>
  <c r="CI58" i="1"/>
  <c r="CU58" i="1" s="1"/>
  <c r="AZ59" i="1" s="1"/>
  <c r="CK58" i="1"/>
  <c r="CW58" i="1" s="1"/>
  <c r="BB59" i="1" s="1"/>
  <c r="CR58" i="1"/>
  <c r="DD58" i="1" s="1"/>
  <c r="BI59" i="1" s="1"/>
  <c r="CH58" i="1"/>
  <c r="CT58" i="1" s="1"/>
  <c r="AX58" i="1" s="1"/>
  <c r="AY59" i="1" s="1"/>
  <c r="CO58" i="1"/>
  <c r="DA58" i="1" s="1"/>
  <c r="BF59" i="1" s="1"/>
  <c r="CN58" i="1"/>
  <c r="CZ58" i="1" s="1"/>
  <c r="BE59" i="1" s="1"/>
  <c r="CM58" i="1"/>
  <c r="CY58" i="1" s="1"/>
  <c r="BD59" i="1" s="1"/>
  <c r="BO58" i="1"/>
  <c r="CS58" i="1"/>
  <c r="DE58" i="1" s="1"/>
  <c r="CL58" i="1"/>
  <c r="CX58" i="1" s="1"/>
  <c r="BC59" i="1" s="1"/>
  <c r="DS59" i="1" l="1"/>
  <c r="AF60" i="1"/>
  <c r="T61" i="1"/>
  <c r="DG60" i="1"/>
  <c r="AI60" i="1"/>
  <c r="W63" i="1"/>
  <c r="DJ62" i="1"/>
  <c r="AL62" i="1"/>
  <c r="AN63" i="1"/>
  <c r="DL63" i="1"/>
  <c r="Y64" i="1"/>
  <c r="DV58" i="1"/>
  <c r="BM59" i="1"/>
  <c r="EK59" i="1" s="1"/>
  <c r="BL59" i="1"/>
  <c r="EJ59" i="1" s="1"/>
  <c r="BJ59" i="1"/>
  <c r="BK59" i="1"/>
  <c r="AG60" i="1"/>
  <c r="AW60" i="1" s="1"/>
  <c r="DR59" i="1"/>
  <c r="AE60" i="1"/>
  <c r="DY57" i="1"/>
  <c r="BO59" i="1" l="1"/>
  <c r="DM64" i="1"/>
  <c r="Z65" i="1"/>
  <c r="AO64" i="1"/>
  <c r="CQ59" i="1"/>
  <c r="DC59" i="1" s="1"/>
  <c r="BH60" i="1" s="1"/>
  <c r="CI59" i="1"/>
  <c r="CU59" i="1" s="1"/>
  <c r="AZ60" i="1" s="1"/>
  <c r="CP59" i="1"/>
  <c r="DB59" i="1" s="1"/>
  <c r="BG60" i="1" s="1"/>
  <c r="CR59" i="1"/>
  <c r="DD59" i="1" s="1"/>
  <c r="BI60" i="1" s="1"/>
  <c r="CJ59" i="1"/>
  <c r="CV59" i="1" s="1"/>
  <c r="BA60" i="1" s="1"/>
  <c r="CO59" i="1"/>
  <c r="DA59" i="1" s="1"/>
  <c r="BF60" i="1" s="1"/>
  <c r="EH59" i="1"/>
  <c r="AC60" i="1"/>
  <c r="DH61" i="1"/>
  <c r="AJ61" i="1"/>
  <c r="U62" i="1"/>
  <c r="AV60" i="1"/>
  <c r="AU60" i="1"/>
  <c r="CK59" i="1"/>
  <c r="CW59" i="1" s="1"/>
  <c r="BB60" i="1" s="1"/>
  <c r="DZ57" i="1"/>
  <c r="CM59" i="1"/>
  <c r="CY59" i="1" s="1"/>
  <c r="BD60" i="1" s="1"/>
  <c r="DW58" i="1"/>
  <c r="EI59" i="1"/>
  <c r="BQ59" i="1"/>
  <c r="AD60" i="1" s="1"/>
  <c r="CL59" i="1"/>
  <c r="CX59" i="1" s="1"/>
  <c r="BC60" i="1" s="1"/>
  <c r="CH59" i="1"/>
  <c r="CT59" i="1" s="1"/>
  <c r="AX59" i="1" s="1"/>
  <c r="AY60" i="1" s="1"/>
  <c r="CN59" i="1"/>
  <c r="CZ59" i="1" s="1"/>
  <c r="BE60" i="1" s="1"/>
  <c r="X64" i="1"/>
  <c r="DK63" i="1"/>
  <c r="AM63" i="1"/>
  <c r="CS59" i="1"/>
  <c r="DE59" i="1" s="1"/>
  <c r="AT60" i="1" l="1"/>
  <c r="DI62" i="1"/>
  <c r="AK62" i="1"/>
  <c r="V63" i="1"/>
  <c r="EA57" i="1"/>
  <c r="DQ60" i="1"/>
  <c r="AS60" i="1"/>
  <c r="AN64" i="1"/>
  <c r="DL64" i="1"/>
  <c r="Y65" i="1"/>
  <c r="DX58" i="1"/>
  <c r="EM59" i="1"/>
  <c r="EO59" i="1" s="1"/>
  <c r="EQ59" i="1" s="1"/>
  <c r="ES59" i="1" s="1"/>
  <c r="DV59" i="1"/>
  <c r="AA66" i="1"/>
  <c r="DN65" i="1"/>
  <c r="AP65" i="1"/>
  <c r="Z66" i="1" l="1"/>
  <c r="AO65" i="1"/>
  <c r="DM65" i="1"/>
  <c r="EB57" i="1"/>
  <c r="DW59" i="1"/>
  <c r="W64" i="1"/>
  <c r="AL63" i="1"/>
  <c r="DJ63" i="1"/>
  <c r="AB67" i="1"/>
  <c r="AQ66" i="1"/>
  <c r="DO66" i="1"/>
  <c r="DY58" i="1"/>
  <c r="DP67" i="1" l="1"/>
  <c r="AR67" i="1"/>
  <c r="EC57" i="1"/>
  <c r="DX59" i="1"/>
  <c r="X65" i="1"/>
  <c r="AM64" i="1"/>
  <c r="DK64" i="1"/>
  <c r="DZ58" i="1"/>
  <c r="AA67" i="1"/>
  <c r="AP66" i="1"/>
  <c r="DN66" i="1"/>
  <c r="DY59" i="1" l="1"/>
  <c r="DL65" i="1"/>
  <c r="AN65" i="1"/>
  <c r="Y66" i="1"/>
  <c r="EA58" i="1"/>
  <c r="ED57" i="1"/>
  <c r="AB68" i="1"/>
  <c r="DO67" i="1"/>
  <c r="AQ67" i="1"/>
  <c r="DP68" i="1" l="1"/>
  <c r="AR68" i="1"/>
  <c r="EB58" i="1"/>
  <c r="AO66" i="1"/>
  <c r="Z67" i="1"/>
  <c r="DM66" i="1"/>
  <c r="EE57" i="1"/>
  <c r="DZ59" i="1"/>
  <c r="DN67" i="1" l="1"/>
  <c r="AA68" i="1"/>
  <c r="AP67" i="1"/>
  <c r="EA59" i="1"/>
  <c r="EC58" i="1"/>
  <c r="EF57" i="1"/>
  <c r="ED58" i="1" l="1"/>
  <c r="EB59" i="1"/>
  <c r="EG57" i="1"/>
  <c r="EL57" i="1" s="1"/>
  <c r="EN57" i="1" s="1"/>
  <c r="EP57" i="1" s="1"/>
  <c r="ER57" i="1" s="1"/>
  <c r="BP57" i="1"/>
  <c r="R60" i="1" s="1"/>
  <c r="BN57" i="1"/>
  <c r="AQ68" i="1"/>
  <c r="AB69" i="1"/>
  <c r="DO68" i="1"/>
  <c r="AH60" i="1" l="1"/>
  <c r="DF60" i="1"/>
  <c r="S61" i="1"/>
  <c r="CF60" i="1"/>
  <c r="CE60" i="1"/>
  <c r="CD60" i="1"/>
  <c r="CG60" i="1"/>
  <c r="DU60" i="1" s="1"/>
  <c r="EC59" i="1"/>
  <c r="AR69" i="1"/>
  <c r="DP69" i="1"/>
  <c r="EE58" i="1"/>
  <c r="EF58" i="1" l="1"/>
  <c r="AE61" i="1"/>
  <c r="DR60" i="1"/>
  <c r="DS60" i="1"/>
  <c r="AF61" i="1"/>
  <c r="DT60" i="1"/>
  <c r="AG61" i="1"/>
  <c r="AW61" i="1" s="1"/>
  <c r="DG61" i="1"/>
  <c r="AI61" i="1"/>
  <c r="T62" i="1"/>
  <c r="ED59" i="1"/>
  <c r="BJ60" i="1"/>
  <c r="BM60" i="1"/>
  <c r="EK60" i="1" s="1"/>
  <c r="BL60" i="1"/>
  <c r="BK60" i="1"/>
  <c r="EI60" i="1" l="1"/>
  <c r="CL60" i="1"/>
  <c r="CX60" i="1" s="1"/>
  <c r="BC61" i="1" s="1"/>
  <c r="CS60" i="1"/>
  <c r="DE60" i="1" s="1"/>
  <c r="CQ60" i="1"/>
  <c r="DC60" i="1" s="1"/>
  <c r="BH61" i="1" s="1"/>
  <c r="CI60" i="1"/>
  <c r="CU60" i="1" s="1"/>
  <c r="AZ61" i="1" s="1"/>
  <c r="CP60" i="1"/>
  <c r="DB60" i="1" s="1"/>
  <c r="BG61" i="1" s="1"/>
  <c r="U63" i="1"/>
  <c r="DH62" i="1"/>
  <c r="AJ62" i="1"/>
  <c r="CJ60" i="1"/>
  <c r="CV60" i="1" s="1"/>
  <c r="BA61" i="1" s="1"/>
  <c r="CO60" i="1"/>
  <c r="DA60" i="1" s="1"/>
  <c r="BF61" i="1" s="1"/>
  <c r="CK60" i="1"/>
  <c r="CW60" i="1" s="1"/>
  <c r="BB61" i="1" s="1"/>
  <c r="AC61" i="1"/>
  <c r="EH60" i="1"/>
  <c r="AU61" i="1"/>
  <c r="BO60" i="1"/>
  <c r="BQ60" i="1"/>
  <c r="AD61" i="1" s="1"/>
  <c r="CM60" i="1"/>
  <c r="CY60" i="1" s="1"/>
  <c r="BD61" i="1" s="1"/>
  <c r="EJ60" i="1"/>
  <c r="CN60" i="1"/>
  <c r="CZ60" i="1" s="1"/>
  <c r="BE61" i="1" s="1"/>
  <c r="EG58" i="1"/>
  <c r="EL58" i="1" s="1"/>
  <c r="EN58" i="1" s="1"/>
  <c r="EP58" i="1" s="1"/>
  <c r="ER58" i="1" s="1"/>
  <c r="BP58" i="1"/>
  <c r="R61" i="1" s="1"/>
  <c r="BN58" i="1"/>
  <c r="EE59" i="1"/>
  <c r="AV61" i="1"/>
  <c r="CR60" i="1"/>
  <c r="DD60" i="1" s="1"/>
  <c r="BI61" i="1" s="1"/>
  <c r="CH60" i="1"/>
  <c r="CT60" i="1" s="1"/>
  <c r="AX60" i="1" s="1"/>
  <c r="AY61" i="1" s="1"/>
  <c r="EF59" i="1" l="1"/>
  <c r="AH61" i="1"/>
  <c r="S62" i="1"/>
  <c r="DF61" i="1"/>
  <c r="CD61" i="1"/>
  <c r="CG61" i="1"/>
  <c r="DU61" i="1" s="1"/>
  <c r="CE61" i="1"/>
  <c r="CF61" i="1"/>
  <c r="DV60" i="1"/>
  <c r="AT61" i="1"/>
  <c r="EM60" i="1"/>
  <c r="EO60" i="1" s="1"/>
  <c r="EQ60" i="1" s="1"/>
  <c r="ES60" i="1" s="1"/>
  <c r="V64" i="1"/>
  <c r="AK63" i="1"/>
  <c r="DI63" i="1"/>
  <c r="DQ61" i="1"/>
  <c r="AS61" i="1"/>
  <c r="DR61" i="1" l="1"/>
  <c r="DS61" i="1"/>
  <c r="AF62" i="1"/>
  <c r="DG62" i="1"/>
  <c r="T63" i="1"/>
  <c r="AI62" i="1"/>
  <c r="DW60" i="1"/>
  <c r="BL61" i="1"/>
  <c r="BK61" i="1"/>
  <c r="BM61" i="1"/>
  <c r="EK61" i="1" s="1"/>
  <c r="BJ61" i="1"/>
  <c r="W65" i="1"/>
  <c r="DJ64" i="1"/>
  <c r="AL64" i="1"/>
  <c r="AE62" i="1"/>
  <c r="DT61" i="1"/>
  <c r="AG62" i="1"/>
  <c r="AW62" i="1" s="1"/>
  <c r="EG59" i="1"/>
  <c r="EL59" i="1" s="1"/>
  <c r="EN59" i="1" s="1"/>
  <c r="EP59" i="1" s="1"/>
  <c r="ER59" i="1" s="1"/>
  <c r="BN59" i="1"/>
  <c r="BP59" i="1"/>
  <c r="R62" i="1" s="1"/>
  <c r="CK61" i="1" l="1"/>
  <c r="CW61" i="1" s="1"/>
  <c r="BB62" i="1" s="1"/>
  <c r="EI61" i="1"/>
  <c r="CS61" i="1"/>
  <c r="DE61" i="1" s="1"/>
  <c r="CO61" i="1"/>
  <c r="DA61" i="1" s="1"/>
  <c r="BF62" i="1" s="1"/>
  <c r="DF62" i="1"/>
  <c r="AH62" i="1"/>
  <c r="S63" i="1"/>
  <c r="CP61" i="1"/>
  <c r="DB61" i="1" s="1"/>
  <c r="BG62" i="1" s="1"/>
  <c r="X66" i="1"/>
  <c r="AM65" i="1"/>
  <c r="DK65" i="1"/>
  <c r="DX60" i="1"/>
  <c r="CI61" i="1"/>
  <c r="CU61" i="1" s="1"/>
  <c r="AZ62" i="1" s="1"/>
  <c r="CR61" i="1"/>
  <c r="DD61" i="1" s="1"/>
  <c r="BI62" i="1" s="1"/>
  <c r="CH61" i="1"/>
  <c r="CT61" i="1" s="1"/>
  <c r="AX61" i="1" s="1"/>
  <c r="AY62" i="1" s="1"/>
  <c r="CJ61" i="1"/>
  <c r="CV61" i="1" s="1"/>
  <c r="BA62" i="1" s="1"/>
  <c r="CQ61" i="1"/>
  <c r="DC61" i="1" s="1"/>
  <c r="BH62" i="1" s="1"/>
  <c r="AV62" i="1"/>
  <c r="EH61" i="1"/>
  <c r="AC62" i="1"/>
  <c r="CG62" i="1" s="1"/>
  <c r="DU62" i="1" s="1"/>
  <c r="BO61" i="1"/>
  <c r="DH63" i="1"/>
  <c r="AJ63" i="1"/>
  <c r="U64" i="1"/>
  <c r="CL61" i="1"/>
  <c r="CX61" i="1" s="1"/>
  <c r="BC62" i="1" s="1"/>
  <c r="AU62" i="1"/>
  <c r="CM61" i="1"/>
  <c r="CY61" i="1" s="1"/>
  <c r="BD62" i="1" s="1"/>
  <c r="EJ61" i="1"/>
  <c r="CN61" i="1"/>
  <c r="CZ61" i="1" s="1"/>
  <c r="BE62" i="1" s="1"/>
  <c r="BQ61" i="1"/>
  <c r="AD62" i="1" s="1"/>
  <c r="EM61" i="1" l="1"/>
  <c r="EO61" i="1" s="1"/>
  <c r="EQ61" i="1" s="1"/>
  <c r="ES61" i="1" s="1"/>
  <c r="AK64" i="1"/>
  <c r="V65" i="1"/>
  <c r="DI64" i="1"/>
  <c r="DY60" i="1"/>
  <c r="T64" i="1"/>
  <c r="AI63" i="1"/>
  <c r="DG63" i="1"/>
  <c r="DV61" i="1"/>
  <c r="AT62" i="1"/>
  <c r="AS62" i="1"/>
  <c r="DQ62" i="1"/>
  <c r="DL66" i="1"/>
  <c r="AN66" i="1"/>
  <c r="Y67" i="1"/>
  <c r="CD62" i="1"/>
  <c r="CF62" i="1"/>
  <c r="CE62" i="1"/>
  <c r="DR62" i="1" l="1"/>
  <c r="AJ64" i="1"/>
  <c r="DH64" i="1"/>
  <c r="U65" i="1"/>
  <c r="AO67" i="1"/>
  <c r="DM67" i="1"/>
  <c r="Z68" i="1"/>
  <c r="AE63" i="1"/>
  <c r="DZ60" i="1"/>
  <c r="BL62" i="1"/>
  <c r="DW61" i="1"/>
  <c r="DS62" i="1"/>
  <c r="AF63" i="1"/>
  <c r="BM62" i="1"/>
  <c r="EK62" i="1" s="1"/>
  <c r="BK62" i="1"/>
  <c r="W66" i="1"/>
  <c r="AL65" i="1"/>
  <c r="DJ65" i="1"/>
  <c r="DT62" i="1"/>
  <c r="AG63" i="1"/>
  <c r="AW63" i="1" s="1"/>
  <c r="BJ62" i="1"/>
  <c r="CR62" i="1" l="1"/>
  <c r="DD62" i="1" s="1"/>
  <c r="BI63" i="1" s="1"/>
  <c r="EJ62" i="1"/>
  <c r="EI62" i="1"/>
  <c r="CK62" i="1"/>
  <c r="CW62" i="1" s="1"/>
  <c r="BB63" i="1" s="1"/>
  <c r="CS62" i="1"/>
  <c r="DE62" i="1" s="1"/>
  <c r="CM62" i="1"/>
  <c r="CY62" i="1" s="1"/>
  <c r="BD63" i="1" s="1"/>
  <c r="AV63" i="1"/>
  <c r="EA60" i="1"/>
  <c r="AK65" i="1"/>
  <c r="DI65" i="1"/>
  <c r="V66" i="1"/>
  <c r="CN62" i="1"/>
  <c r="CZ62" i="1" s="1"/>
  <c r="BE63" i="1" s="1"/>
  <c r="BQ62" i="1"/>
  <c r="AD63" i="1" s="1"/>
  <c r="CQ62" i="1"/>
  <c r="DC62" i="1" s="1"/>
  <c r="BH63" i="1" s="1"/>
  <c r="X67" i="1"/>
  <c r="DK66" i="1"/>
  <c r="AM66" i="1"/>
  <c r="AU63" i="1"/>
  <c r="CP62" i="1"/>
  <c r="DB62" i="1" s="1"/>
  <c r="BG63" i="1" s="1"/>
  <c r="DX61" i="1"/>
  <c r="CH62" i="1"/>
  <c r="CT62" i="1" s="1"/>
  <c r="AX62" i="1" s="1"/>
  <c r="AY63" i="1" s="1"/>
  <c r="CO62" i="1"/>
  <c r="DA62" i="1" s="1"/>
  <c r="BF63" i="1" s="1"/>
  <c r="AP68" i="1"/>
  <c r="AA69" i="1"/>
  <c r="DN68" i="1"/>
  <c r="CI62" i="1"/>
  <c r="CU62" i="1" s="1"/>
  <c r="AZ63" i="1" s="1"/>
  <c r="CL62" i="1"/>
  <c r="CX62" i="1" s="1"/>
  <c r="BC63" i="1" s="1"/>
  <c r="BO62" i="1"/>
  <c r="CJ62" i="1"/>
  <c r="CV62" i="1" s="1"/>
  <c r="BA63" i="1" s="1"/>
  <c r="EH62" i="1"/>
  <c r="AC63" i="1"/>
  <c r="EM62" i="1" l="1"/>
  <c r="EO62" i="1" s="1"/>
  <c r="EQ62" i="1" s="1"/>
  <c r="ES62" i="1" s="1"/>
  <c r="AQ69" i="1"/>
  <c r="DO69" i="1"/>
  <c r="AB70" i="1"/>
  <c r="AT63" i="1"/>
  <c r="EB60" i="1"/>
  <c r="DV62" i="1"/>
  <c r="DY61" i="1"/>
  <c r="DJ66" i="1"/>
  <c r="W67" i="1"/>
  <c r="AL66" i="1"/>
  <c r="DQ63" i="1"/>
  <c r="AS63" i="1"/>
  <c r="DW62" i="1"/>
  <c r="Y68" i="1"/>
  <c r="DL67" i="1"/>
  <c r="AN67" i="1"/>
  <c r="EC60" i="1" l="1"/>
  <c r="DZ61" i="1"/>
  <c r="Z69" i="1"/>
  <c r="DM68" i="1"/>
  <c r="AO68" i="1"/>
  <c r="AR70" i="1"/>
  <c r="DP70" i="1"/>
  <c r="DX62" i="1"/>
  <c r="X68" i="1"/>
  <c r="DK67" i="1"/>
  <c r="AM67" i="1"/>
  <c r="EA61" i="1" l="1"/>
  <c r="DN69" i="1"/>
  <c r="AP69" i="1"/>
  <c r="AA70" i="1"/>
  <c r="ED60" i="1"/>
  <c r="Y69" i="1"/>
  <c r="AN68" i="1"/>
  <c r="DL68" i="1"/>
  <c r="DY62" i="1"/>
  <c r="AB71" i="1" l="1"/>
  <c r="DO70" i="1"/>
  <c r="AQ70" i="1"/>
  <c r="AO69" i="1"/>
  <c r="Z70" i="1"/>
  <c r="DM69" i="1"/>
  <c r="DZ62" i="1"/>
  <c r="EE60" i="1"/>
  <c r="EB61" i="1"/>
  <c r="EA62" i="1" l="1"/>
  <c r="EC61" i="1"/>
  <c r="DN70" i="1"/>
  <c r="AP70" i="1"/>
  <c r="AA71" i="1"/>
  <c r="EF60" i="1"/>
  <c r="AR71" i="1"/>
  <c r="DP71" i="1"/>
  <c r="ED61" i="1" l="1"/>
  <c r="EG60" i="1"/>
  <c r="EL60" i="1" s="1"/>
  <c r="EN60" i="1" s="1"/>
  <c r="EP60" i="1" s="1"/>
  <c r="ER60" i="1" s="1"/>
  <c r="BN60" i="1"/>
  <c r="BP60" i="1"/>
  <c r="R63" i="1" s="1"/>
  <c r="AQ71" i="1"/>
  <c r="DO71" i="1"/>
  <c r="AB72" i="1"/>
  <c r="EB62" i="1"/>
  <c r="AR72" i="1" l="1"/>
  <c r="DP72" i="1"/>
  <c r="CD63" i="1"/>
  <c r="DF63" i="1"/>
  <c r="AH63" i="1"/>
  <c r="CF63" i="1"/>
  <c r="S64" i="1"/>
  <c r="CG63" i="1"/>
  <c r="DU63" i="1" s="1"/>
  <c r="CE63" i="1"/>
  <c r="EC62" i="1"/>
  <c r="EE61" i="1"/>
  <c r="AI64" i="1" l="1"/>
  <c r="DG64" i="1"/>
  <c r="T65" i="1"/>
  <c r="DT63" i="1"/>
  <c r="AG64" i="1"/>
  <c r="AW64" i="1" s="1"/>
  <c r="BM63" i="1"/>
  <c r="EK63" i="1" s="1"/>
  <c r="BK63" i="1"/>
  <c r="BJ63" i="1"/>
  <c r="BL63" i="1"/>
  <c r="EF61" i="1"/>
  <c r="ED62" i="1"/>
  <c r="DR63" i="1"/>
  <c r="AE64" i="1"/>
  <c r="DS63" i="1"/>
  <c r="AF64" i="1"/>
  <c r="CJ63" i="1" l="1"/>
  <c r="CV63" i="1" s="1"/>
  <c r="BA64" i="1" s="1"/>
  <c r="EJ63" i="1"/>
  <c r="CQ63" i="1"/>
  <c r="DC63" i="1" s="1"/>
  <c r="BH64" i="1" s="1"/>
  <c r="EH63" i="1"/>
  <c r="AC64" i="1"/>
  <c r="AV64" i="1"/>
  <c r="CK63" i="1"/>
  <c r="CW63" i="1" s="1"/>
  <c r="BB64" i="1" s="1"/>
  <c r="CL63" i="1"/>
  <c r="CX63" i="1" s="1"/>
  <c r="BC64" i="1" s="1"/>
  <c r="EE62" i="1"/>
  <c r="EI63" i="1"/>
  <c r="CM63" i="1"/>
  <c r="CY63" i="1" s="1"/>
  <c r="BD64" i="1" s="1"/>
  <c r="CH63" i="1"/>
  <c r="CT63" i="1" s="1"/>
  <c r="AX63" i="1" s="1"/>
  <c r="AY64" i="1" s="1"/>
  <c r="CN63" i="1"/>
  <c r="CZ63" i="1" s="1"/>
  <c r="BE64" i="1" s="1"/>
  <c r="CS63" i="1"/>
  <c r="DE63" i="1" s="1"/>
  <c r="CP63" i="1"/>
  <c r="DB63" i="1" s="1"/>
  <c r="BG64" i="1" s="1"/>
  <c r="EG61" i="1"/>
  <c r="EL61" i="1" s="1"/>
  <c r="EN61" i="1" s="1"/>
  <c r="EP61" i="1" s="1"/>
  <c r="ER61" i="1" s="1"/>
  <c r="BP61" i="1"/>
  <c r="R64" i="1" s="1"/>
  <c r="BN61" i="1"/>
  <c r="U66" i="1"/>
  <c r="DH65" i="1"/>
  <c r="AJ65" i="1"/>
  <c r="AU64" i="1"/>
  <c r="CO63" i="1"/>
  <c r="DA63" i="1" s="1"/>
  <c r="BF64" i="1" s="1"/>
  <c r="CI63" i="1"/>
  <c r="CU63" i="1" s="1"/>
  <c r="AZ64" i="1" s="1"/>
  <c r="CR63" i="1"/>
  <c r="DD63" i="1" s="1"/>
  <c r="BI64" i="1" s="1"/>
  <c r="BO63" i="1"/>
  <c r="BQ63" i="1"/>
  <c r="AD64" i="1" s="1"/>
  <c r="S65" i="1" l="1"/>
  <c r="DF64" i="1"/>
  <c r="AH64" i="1"/>
  <c r="CG64" i="1"/>
  <c r="DU64" i="1" s="1"/>
  <c r="CE64" i="1"/>
  <c r="CD64" i="1"/>
  <c r="CF64" i="1"/>
  <c r="EF62" i="1"/>
  <c r="DV63" i="1"/>
  <c r="AT64" i="1"/>
  <c r="DQ64" i="1"/>
  <c r="AS64" i="1"/>
  <c r="DI66" i="1"/>
  <c r="V67" i="1"/>
  <c r="AK66" i="1"/>
  <c r="EM63" i="1"/>
  <c r="EO63" i="1" s="1"/>
  <c r="EQ63" i="1" s="1"/>
  <c r="ES63" i="1" s="1"/>
  <c r="AL67" i="1" l="1"/>
  <c r="DJ67" i="1"/>
  <c r="W68" i="1"/>
  <c r="DT64" i="1"/>
  <c r="AG65" i="1"/>
  <c r="AW65" i="1" s="1"/>
  <c r="DS64" i="1"/>
  <c r="AF65" i="1"/>
  <c r="DW63" i="1"/>
  <c r="BK64" i="1"/>
  <c r="BL64" i="1"/>
  <c r="BM64" i="1"/>
  <c r="EK64" i="1" s="1"/>
  <c r="BJ64" i="1"/>
  <c r="DR64" i="1"/>
  <c r="AE65" i="1"/>
  <c r="EG62" i="1"/>
  <c r="EL62" i="1" s="1"/>
  <c r="EN62" i="1" s="1"/>
  <c r="EP62" i="1" s="1"/>
  <c r="ER62" i="1" s="1"/>
  <c r="BN62" i="1"/>
  <c r="BP62" i="1"/>
  <c r="R65" i="1" s="1"/>
  <c r="T66" i="1"/>
  <c r="DG65" i="1"/>
  <c r="AI65" i="1"/>
  <c r="EI64" i="1" l="1"/>
  <c r="BQ64" i="1"/>
  <c r="AD65" i="1" s="1"/>
  <c r="AT65" i="1" s="1"/>
  <c r="CR64" i="1"/>
  <c r="DD64" i="1" s="1"/>
  <c r="BI65" i="1" s="1"/>
  <c r="CQ64" i="1"/>
  <c r="DC64" i="1" s="1"/>
  <c r="BH65" i="1" s="1"/>
  <c r="CI64" i="1"/>
  <c r="CU64" i="1" s="1"/>
  <c r="AZ65" i="1" s="1"/>
  <c r="CJ64" i="1"/>
  <c r="CV64" i="1" s="1"/>
  <c r="BA65" i="1" s="1"/>
  <c r="CK64" i="1"/>
  <c r="CW64" i="1" s="1"/>
  <c r="BB65" i="1" s="1"/>
  <c r="CL64" i="1"/>
  <c r="CX64" i="1" s="1"/>
  <c r="BC65" i="1" s="1"/>
  <c r="CN64" i="1"/>
  <c r="CZ64" i="1" s="1"/>
  <c r="BE65" i="1" s="1"/>
  <c r="CO64" i="1"/>
  <c r="DA64" i="1" s="1"/>
  <c r="BF65" i="1" s="1"/>
  <c r="AM68" i="1"/>
  <c r="DK68" i="1"/>
  <c r="X69" i="1"/>
  <c r="U67" i="1"/>
  <c r="AJ66" i="1"/>
  <c r="DH66" i="1"/>
  <c r="CP64" i="1"/>
  <c r="DB64" i="1" s="1"/>
  <c r="BG65" i="1" s="1"/>
  <c r="DX63" i="1"/>
  <c r="S66" i="1"/>
  <c r="AH65" i="1"/>
  <c r="DF65" i="1"/>
  <c r="AV65" i="1"/>
  <c r="CH64" i="1"/>
  <c r="CT64" i="1" s="1"/>
  <c r="AX64" i="1" s="1"/>
  <c r="AY65" i="1" s="1"/>
  <c r="EH64" i="1"/>
  <c r="AC65" i="1"/>
  <c r="CD65" i="1" s="1"/>
  <c r="BO64" i="1"/>
  <c r="AU65" i="1"/>
  <c r="CM64" i="1"/>
  <c r="CY64" i="1" s="1"/>
  <c r="BD65" i="1" s="1"/>
  <c r="EJ64" i="1"/>
  <c r="CS64" i="1"/>
  <c r="DE64" i="1" s="1"/>
  <c r="DR65" i="1" l="1"/>
  <c r="AE66" i="1"/>
  <c r="DY63" i="1"/>
  <c r="AS65" i="1"/>
  <c r="DQ65" i="1"/>
  <c r="CF65" i="1"/>
  <c r="DL69" i="1"/>
  <c r="Y70" i="1"/>
  <c r="AN69" i="1"/>
  <c r="EM64" i="1"/>
  <c r="EO64" i="1" s="1"/>
  <c r="EQ64" i="1" s="1"/>
  <c r="ES64" i="1" s="1"/>
  <c r="BK65" i="1"/>
  <c r="BJ65" i="1"/>
  <c r="BM65" i="1"/>
  <c r="BL65" i="1"/>
  <c r="DV64" i="1"/>
  <c r="CE65" i="1"/>
  <c r="CG65" i="1"/>
  <c r="DU65" i="1" s="1"/>
  <c r="AI66" i="1"/>
  <c r="DG66" i="1"/>
  <c r="T67" i="1"/>
  <c r="DI67" i="1"/>
  <c r="AK67" i="1"/>
  <c r="V68" i="1"/>
  <c r="CQ65" i="1" l="1"/>
  <c r="DC65" i="1" s="1"/>
  <c r="BH66" i="1" s="1"/>
  <c r="BQ65" i="1"/>
  <c r="AD66" i="1" s="1"/>
  <c r="AT66" i="1" s="1"/>
  <c r="CK65" i="1"/>
  <c r="CW65" i="1" s="1"/>
  <c r="BB66" i="1" s="1"/>
  <c r="U68" i="1"/>
  <c r="AJ67" i="1"/>
  <c r="DH67" i="1"/>
  <c r="CM65" i="1"/>
  <c r="CY65" i="1" s="1"/>
  <c r="BD66" i="1" s="1"/>
  <c r="DW64" i="1"/>
  <c r="DZ63" i="1"/>
  <c r="CN65" i="1"/>
  <c r="CZ65" i="1" s="1"/>
  <c r="BE66" i="1" s="1"/>
  <c r="Z71" i="1"/>
  <c r="AO70" i="1"/>
  <c r="DM70" i="1"/>
  <c r="CO65" i="1"/>
  <c r="DA65" i="1" s="1"/>
  <c r="BF66" i="1" s="1"/>
  <c r="AU66" i="1"/>
  <c r="CP65" i="1"/>
  <c r="DB65" i="1" s="1"/>
  <c r="BG66" i="1" s="1"/>
  <c r="DJ68" i="1"/>
  <c r="AL68" i="1"/>
  <c r="W69" i="1"/>
  <c r="EK65" i="1"/>
  <c r="DT65" i="1"/>
  <c r="EJ65" i="1" s="1"/>
  <c r="AG66" i="1"/>
  <c r="AW66" i="1" s="1"/>
  <c r="CH65" i="1"/>
  <c r="CT65" i="1" s="1"/>
  <c r="AX65" i="1" s="1"/>
  <c r="AY66" i="1" s="1"/>
  <c r="DS65" i="1"/>
  <c r="EI65" i="1" s="1"/>
  <c r="AF66" i="1"/>
  <c r="BO65" i="1"/>
  <c r="CS65" i="1"/>
  <c r="DE65" i="1" s="1"/>
  <c r="CI65" i="1"/>
  <c r="CU65" i="1" s="1"/>
  <c r="AZ66" i="1" s="1"/>
  <c r="CR65" i="1"/>
  <c r="DD65" i="1" s="1"/>
  <c r="BI66" i="1" s="1"/>
  <c r="CL65" i="1"/>
  <c r="CX65" i="1" s="1"/>
  <c r="BC66" i="1" s="1"/>
  <c r="CJ65" i="1"/>
  <c r="CV65" i="1" s="1"/>
  <c r="BA66" i="1" s="1"/>
  <c r="AC66" i="1"/>
  <c r="EH65" i="1"/>
  <c r="EM65" i="1" l="1"/>
  <c r="EO65" i="1" s="1"/>
  <c r="EQ65" i="1" s="1"/>
  <c r="ES65" i="1" s="1"/>
  <c r="DV65" i="1"/>
  <c r="AP71" i="1"/>
  <c r="AA72" i="1"/>
  <c r="DN71" i="1"/>
  <c r="EA63" i="1"/>
  <c r="DK69" i="1"/>
  <c r="X70" i="1"/>
  <c r="AM69" i="1"/>
  <c r="AV66" i="1"/>
  <c r="DX64" i="1"/>
  <c r="DQ66" i="1"/>
  <c r="AS66" i="1"/>
  <c r="V69" i="1"/>
  <c r="DI68" i="1"/>
  <c r="AK68" i="1"/>
  <c r="AN70" i="1" l="1"/>
  <c r="DL70" i="1"/>
  <c r="Y71" i="1"/>
  <c r="DO72" i="1"/>
  <c r="AQ72" i="1"/>
  <c r="AB73" i="1"/>
  <c r="DY64" i="1"/>
  <c r="DJ69" i="1"/>
  <c r="AL69" i="1"/>
  <c r="W70" i="1"/>
  <c r="EB63" i="1"/>
  <c r="DW65" i="1"/>
  <c r="AM70" i="1" l="1"/>
  <c r="X71" i="1"/>
  <c r="DK70" i="1"/>
  <c r="DX65" i="1"/>
  <c r="Z72" i="1"/>
  <c r="DM71" i="1"/>
  <c r="AO71" i="1"/>
  <c r="DZ64" i="1"/>
  <c r="EC63" i="1"/>
  <c r="DP73" i="1"/>
  <c r="AR73" i="1"/>
  <c r="DY65" i="1" l="1"/>
  <c r="EA64" i="1"/>
  <c r="ED63" i="1"/>
  <c r="AA73" i="1"/>
  <c r="DN72" i="1"/>
  <c r="AP72" i="1"/>
  <c r="AN71" i="1"/>
  <c r="Y72" i="1"/>
  <c r="DL71" i="1"/>
  <c r="EE63" i="1" l="1"/>
  <c r="DM72" i="1"/>
  <c r="Z73" i="1"/>
  <c r="AO72" i="1"/>
  <c r="EB64" i="1"/>
  <c r="DO73" i="1"/>
  <c r="AB74" i="1"/>
  <c r="AQ73" i="1"/>
  <c r="DZ65" i="1"/>
  <c r="EC64" i="1" l="1"/>
  <c r="EA65" i="1"/>
  <c r="DP74" i="1"/>
  <c r="AR74" i="1"/>
  <c r="AP73" i="1"/>
  <c r="AA74" i="1"/>
  <c r="DN73" i="1"/>
  <c r="EF63" i="1"/>
  <c r="EB65" i="1" l="1"/>
  <c r="AQ74" i="1"/>
  <c r="DO74" i="1"/>
  <c r="AB75" i="1"/>
  <c r="EG63" i="1"/>
  <c r="EL63" i="1" s="1"/>
  <c r="EN63" i="1" s="1"/>
  <c r="EP63" i="1" s="1"/>
  <c r="ER63" i="1" s="1"/>
  <c r="BN63" i="1"/>
  <c r="BP63" i="1"/>
  <c r="R66" i="1" s="1"/>
  <c r="ED64" i="1"/>
  <c r="CE66" i="1" l="1"/>
  <c r="CF66" i="1"/>
  <c r="CG66" i="1"/>
  <c r="DU66" i="1" s="1"/>
  <c r="CD66" i="1"/>
  <c r="AH66" i="1"/>
  <c r="DF66" i="1"/>
  <c r="S67" i="1"/>
  <c r="DP75" i="1"/>
  <c r="AR75" i="1"/>
  <c r="EE64" i="1"/>
  <c r="EC65" i="1"/>
  <c r="DG67" i="1" l="1"/>
  <c r="T68" i="1"/>
  <c r="AI67" i="1"/>
  <c r="ED65" i="1"/>
  <c r="BM66" i="1"/>
  <c r="EK66" i="1" s="1"/>
  <c r="BK66" i="1"/>
  <c r="BJ66" i="1"/>
  <c r="BL66" i="1"/>
  <c r="DR66" i="1"/>
  <c r="AE67" i="1"/>
  <c r="EF64" i="1"/>
  <c r="DT66" i="1"/>
  <c r="AG67" i="1"/>
  <c r="AW67" i="1" s="1"/>
  <c r="DS66" i="1"/>
  <c r="AF67" i="1"/>
  <c r="CL66" i="1" l="1"/>
  <c r="CX66" i="1" s="1"/>
  <c r="BC67" i="1" s="1"/>
  <c r="EJ66" i="1"/>
  <c r="CM66" i="1"/>
  <c r="CY66" i="1" s="1"/>
  <c r="BD67" i="1" s="1"/>
  <c r="CN66" i="1"/>
  <c r="CZ66" i="1" s="1"/>
  <c r="BE67" i="1" s="1"/>
  <c r="CP66" i="1"/>
  <c r="DB66" i="1" s="1"/>
  <c r="BG67" i="1" s="1"/>
  <c r="CO66" i="1"/>
  <c r="DA66" i="1" s="1"/>
  <c r="BF67" i="1" s="1"/>
  <c r="CR66" i="1"/>
  <c r="DD66" i="1" s="1"/>
  <c r="BI67" i="1" s="1"/>
  <c r="CJ66" i="1"/>
  <c r="CV66" i="1" s="1"/>
  <c r="BA67" i="1" s="1"/>
  <c r="CQ66" i="1"/>
  <c r="DC66" i="1" s="1"/>
  <c r="BH67" i="1" s="1"/>
  <c r="EI66" i="1"/>
  <c r="CK66" i="1"/>
  <c r="CW66" i="1" s="1"/>
  <c r="BB67" i="1" s="1"/>
  <c r="CI66" i="1"/>
  <c r="CU66" i="1" s="1"/>
  <c r="AZ67" i="1" s="1"/>
  <c r="AU67" i="1"/>
  <c r="EG64" i="1"/>
  <c r="EL64" i="1" s="1"/>
  <c r="EN64" i="1" s="1"/>
  <c r="EP64" i="1" s="1"/>
  <c r="ER64" i="1" s="1"/>
  <c r="BP64" i="1"/>
  <c r="R67" i="1" s="1"/>
  <c r="BN64" i="1"/>
  <c r="EE65" i="1"/>
  <c r="EH66" i="1"/>
  <c r="AC67" i="1"/>
  <c r="CS66" i="1"/>
  <c r="DE66" i="1" s="1"/>
  <c r="BO66" i="1"/>
  <c r="BQ66" i="1"/>
  <c r="AD67" i="1" s="1"/>
  <c r="CH66" i="1"/>
  <c r="CT66" i="1" s="1"/>
  <c r="AX66" i="1" s="1"/>
  <c r="AY67" i="1" s="1"/>
  <c r="DH68" i="1"/>
  <c r="AJ68" i="1"/>
  <c r="U69" i="1"/>
  <c r="AV67" i="1"/>
  <c r="EM66" i="1" l="1"/>
  <c r="EO66" i="1" s="1"/>
  <c r="EQ66" i="1" s="1"/>
  <c r="ES66" i="1" s="1"/>
  <c r="DI69" i="1"/>
  <c r="V70" i="1"/>
  <c r="AK69" i="1"/>
  <c r="EF65" i="1"/>
  <c r="DV66" i="1"/>
  <c r="AT67" i="1"/>
  <c r="DF67" i="1"/>
  <c r="S68" i="1"/>
  <c r="AH67" i="1"/>
  <c r="CE67" i="1"/>
  <c r="CD67" i="1"/>
  <c r="CF67" i="1"/>
  <c r="CG67" i="1"/>
  <c r="DU67" i="1" s="1"/>
  <c r="AS67" i="1"/>
  <c r="DQ67" i="1"/>
  <c r="BM67" i="1" l="1"/>
  <c r="EK67" i="1" s="1"/>
  <c r="BL67" i="1"/>
  <c r="BJ67" i="1"/>
  <c r="BK67" i="1"/>
  <c r="DW66" i="1"/>
  <c r="T69" i="1"/>
  <c r="DG68" i="1"/>
  <c r="AI68" i="1"/>
  <c r="EG65" i="1"/>
  <c r="EL65" i="1" s="1"/>
  <c r="EN65" i="1" s="1"/>
  <c r="EP65" i="1" s="1"/>
  <c r="ER65" i="1" s="1"/>
  <c r="BN65" i="1"/>
  <c r="BP65" i="1"/>
  <c r="R68" i="1" s="1"/>
  <c r="DT67" i="1"/>
  <c r="AG68" i="1"/>
  <c r="AW68" i="1" s="1"/>
  <c r="AE68" i="1"/>
  <c r="DR67" i="1"/>
  <c r="DJ70" i="1"/>
  <c r="AL70" i="1"/>
  <c r="W71" i="1"/>
  <c r="DS67" i="1"/>
  <c r="AF68" i="1"/>
  <c r="EI67" i="1" l="1"/>
  <c r="CI67" i="1"/>
  <c r="CU67" i="1" s="1"/>
  <c r="AZ68" i="1" s="1"/>
  <c r="CL67" i="1"/>
  <c r="CX67" i="1" s="1"/>
  <c r="BC68" i="1" s="1"/>
  <c r="CJ67" i="1"/>
  <c r="CV67" i="1" s="1"/>
  <c r="BA68" i="1" s="1"/>
  <c r="CR67" i="1"/>
  <c r="DD67" i="1" s="1"/>
  <c r="BI68" i="1" s="1"/>
  <c r="CK67" i="1"/>
  <c r="CW67" i="1" s="1"/>
  <c r="BB68" i="1" s="1"/>
  <c r="CP67" i="1"/>
  <c r="DB67" i="1" s="1"/>
  <c r="BG68" i="1" s="1"/>
  <c r="CM67" i="1"/>
  <c r="CY67" i="1" s="1"/>
  <c r="BD68" i="1" s="1"/>
  <c r="CN67" i="1"/>
  <c r="CZ67" i="1" s="1"/>
  <c r="BE68" i="1" s="1"/>
  <c r="CQ67" i="1"/>
  <c r="DC67" i="1" s="1"/>
  <c r="BH68" i="1" s="1"/>
  <c r="BO67" i="1"/>
  <c r="DX66" i="1"/>
  <c r="EH67" i="1"/>
  <c r="AC68" i="1"/>
  <c r="CF68" i="1" s="1"/>
  <c r="DT68" i="1" s="1"/>
  <c r="AU68" i="1"/>
  <c r="AV68" i="1"/>
  <c r="X72" i="1"/>
  <c r="DK71" i="1"/>
  <c r="AM71" i="1"/>
  <c r="AH68" i="1"/>
  <c r="S69" i="1"/>
  <c r="DF68" i="1"/>
  <c r="CO67" i="1"/>
  <c r="DA67" i="1" s="1"/>
  <c r="BF68" i="1" s="1"/>
  <c r="EJ67" i="1"/>
  <c r="AJ69" i="1"/>
  <c r="U70" i="1"/>
  <c r="DH69" i="1"/>
  <c r="CS67" i="1"/>
  <c r="DE67" i="1" s="1"/>
  <c r="BQ67" i="1"/>
  <c r="AD68" i="1" s="1"/>
  <c r="CH67" i="1"/>
  <c r="CT67" i="1" s="1"/>
  <c r="AX67" i="1" s="1"/>
  <c r="AY68" i="1" s="1"/>
  <c r="CE68" i="1" l="1"/>
  <c r="DS68" i="1" s="1"/>
  <c r="CG68" i="1"/>
  <c r="DU68" i="1" s="1"/>
  <c r="EM67" i="1"/>
  <c r="EO67" i="1" s="1"/>
  <c r="EQ67" i="1" s="1"/>
  <c r="ES67" i="1" s="1"/>
  <c r="AT68" i="1"/>
  <c r="BK68" i="1" s="1"/>
  <c r="AI69" i="1"/>
  <c r="DG69" i="1"/>
  <c r="T70" i="1"/>
  <c r="DQ68" i="1"/>
  <c r="AS68" i="1"/>
  <c r="DV67" i="1"/>
  <c r="CD68" i="1"/>
  <c r="AE69" i="1" s="1"/>
  <c r="AN72" i="1"/>
  <c r="DL72" i="1"/>
  <c r="Y73" i="1"/>
  <c r="DY66" i="1"/>
  <c r="DI70" i="1"/>
  <c r="AK70" i="1"/>
  <c r="V71" i="1"/>
  <c r="AG69" i="1" l="1"/>
  <c r="AW69" i="1" s="1"/>
  <c r="BM68" i="1"/>
  <c r="EK68" i="1" s="1"/>
  <c r="AF69" i="1"/>
  <c r="AV69" i="1" s="1"/>
  <c r="BL68" i="1"/>
  <c r="EJ68" i="1" s="1"/>
  <c r="BJ68" i="1"/>
  <c r="EI68" i="1"/>
  <c r="AU69" i="1"/>
  <c r="DH70" i="1"/>
  <c r="AJ70" i="1"/>
  <c r="U71" i="1"/>
  <c r="DZ66" i="1"/>
  <c r="DM73" i="1"/>
  <c r="AO73" i="1"/>
  <c r="Z74" i="1"/>
  <c r="DR68" i="1"/>
  <c r="DW67" i="1"/>
  <c r="DJ71" i="1"/>
  <c r="AL71" i="1"/>
  <c r="W72" i="1"/>
  <c r="CR68" i="1" l="1"/>
  <c r="DD68" i="1" s="1"/>
  <c r="BI69" i="1" s="1"/>
  <c r="CP68" i="1"/>
  <c r="DB68" i="1" s="1"/>
  <c r="BG69" i="1" s="1"/>
  <c r="CS68" i="1"/>
  <c r="DE68" i="1" s="1"/>
  <c r="BQ68" i="1"/>
  <c r="AD69" i="1" s="1"/>
  <c r="AT69" i="1" s="1"/>
  <c r="CI68" i="1"/>
  <c r="CU68" i="1" s="1"/>
  <c r="AZ69" i="1" s="1"/>
  <c r="CK68" i="1"/>
  <c r="CW68" i="1" s="1"/>
  <c r="BB69" i="1" s="1"/>
  <c r="CH68" i="1"/>
  <c r="CT68" i="1" s="1"/>
  <c r="AX68" i="1" s="1"/>
  <c r="AY69" i="1" s="1"/>
  <c r="CJ68" i="1"/>
  <c r="CV68" i="1" s="1"/>
  <c r="BA69" i="1" s="1"/>
  <c r="CL68" i="1"/>
  <c r="CX68" i="1" s="1"/>
  <c r="BC69" i="1" s="1"/>
  <c r="CM68" i="1"/>
  <c r="CY68" i="1" s="1"/>
  <c r="BD69" i="1" s="1"/>
  <c r="CO68" i="1"/>
  <c r="DA68" i="1" s="1"/>
  <c r="BF69" i="1" s="1"/>
  <c r="CN68" i="1"/>
  <c r="CZ68" i="1" s="1"/>
  <c r="BE69" i="1" s="1"/>
  <c r="BO68" i="1"/>
  <c r="CQ68" i="1"/>
  <c r="DC68" i="1" s="1"/>
  <c r="BH69" i="1" s="1"/>
  <c r="AP74" i="1"/>
  <c r="AA75" i="1"/>
  <c r="DN74" i="1"/>
  <c r="DX67" i="1"/>
  <c r="AM72" i="1"/>
  <c r="X73" i="1"/>
  <c r="DK72" i="1"/>
  <c r="EA66" i="1"/>
  <c r="EH68" i="1"/>
  <c r="EM68" i="1" s="1"/>
  <c r="EO68" i="1" s="1"/>
  <c r="EQ68" i="1" s="1"/>
  <c r="ES68" i="1" s="1"/>
  <c r="AC69" i="1"/>
  <c r="V72" i="1"/>
  <c r="DI71" i="1"/>
  <c r="AK71" i="1"/>
  <c r="DV68" i="1" l="1"/>
  <c r="AS69" i="1"/>
  <c r="DQ69" i="1"/>
  <c r="DW68" i="1"/>
  <c r="DY67" i="1"/>
  <c r="DJ72" i="1"/>
  <c r="AL72" i="1"/>
  <c r="W73" i="1"/>
  <c r="DL73" i="1"/>
  <c r="AN73" i="1"/>
  <c r="Y74" i="1"/>
  <c r="EB66" i="1"/>
  <c r="DO75" i="1"/>
  <c r="AB76" i="1"/>
  <c r="AQ75" i="1"/>
  <c r="DM74" i="1" l="1"/>
  <c r="AO74" i="1"/>
  <c r="Z75" i="1"/>
  <c r="DZ67" i="1"/>
  <c r="DX68" i="1"/>
  <c r="X74" i="1"/>
  <c r="AM73" i="1"/>
  <c r="DK73" i="1"/>
  <c r="AR76" i="1"/>
  <c r="DP76" i="1"/>
  <c r="EC66" i="1"/>
  <c r="DL74" i="1" l="1"/>
  <c r="Y75" i="1"/>
  <c r="AN74" i="1"/>
  <c r="EA67" i="1"/>
  <c r="DN75" i="1"/>
  <c r="AP75" i="1"/>
  <c r="AA76" i="1"/>
  <c r="ED66" i="1"/>
  <c r="DY68" i="1"/>
  <c r="DZ68" i="1" l="1"/>
  <c r="EB67" i="1"/>
  <c r="EE66" i="1"/>
  <c r="AQ76" i="1"/>
  <c r="DO76" i="1"/>
  <c r="AB77" i="1"/>
  <c r="AO75" i="1"/>
  <c r="DM75" i="1"/>
  <c r="Z76" i="1"/>
  <c r="AP76" i="1" l="1"/>
  <c r="AA77" i="1"/>
  <c r="DN76" i="1"/>
  <c r="EC67" i="1"/>
  <c r="EF66" i="1"/>
  <c r="DP77" i="1"/>
  <c r="AR77" i="1"/>
  <c r="EA68" i="1"/>
  <c r="EG66" i="1" l="1"/>
  <c r="EL66" i="1" s="1"/>
  <c r="EN66" i="1" s="1"/>
  <c r="EP66" i="1" s="1"/>
  <c r="ER66" i="1" s="1"/>
  <c r="BP66" i="1"/>
  <c r="R69" i="1" s="1"/>
  <c r="BN66" i="1"/>
  <c r="EB68" i="1"/>
  <c r="ED67" i="1"/>
  <c r="DO77" i="1"/>
  <c r="AQ77" i="1"/>
  <c r="AB78" i="1"/>
  <c r="EE67" i="1" l="1"/>
  <c r="AR78" i="1"/>
  <c r="DP78" i="1"/>
  <c r="EC68" i="1"/>
  <c r="DF69" i="1"/>
  <c r="S70" i="1"/>
  <c r="CF69" i="1"/>
  <c r="CG69" i="1"/>
  <c r="DU69" i="1" s="1"/>
  <c r="AH69" i="1"/>
  <c r="CE69" i="1"/>
  <c r="CD69" i="1"/>
  <c r="DR69" i="1" l="1"/>
  <c r="AE70" i="1"/>
  <c r="DS69" i="1"/>
  <c r="AF70" i="1"/>
  <c r="ED68" i="1"/>
  <c r="BJ69" i="1"/>
  <c r="BM69" i="1"/>
  <c r="EK69" i="1" s="1"/>
  <c r="BL69" i="1"/>
  <c r="BK69" i="1"/>
  <c r="DT69" i="1"/>
  <c r="AG70" i="1"/>
  <c r="AW70" i="1" s="1"/>
  <c r="AI70" i="1"/>
  <c r="DG70" i="1"/>
  <c r="T71" i="1"/>
  <c r="EF67" i="1"/>
  <c r="CP69" i="1" l="1"/>
  <c r="DB69" i="1" s="1"/>
  <c r="BG70" i="1" s="1"/>
  <c r="EJ69" i="1"/>
  <c r="CM69" i="1"/>
  <c r="CY69" i="1" s="1"/>
  <c r="BD70" i="1" s="1"/>
  <c r="EI69" i="1"/>
  <c r="CN69" i="1"/>
  <c r="CZ69" i="1" s="1"/>
  <c r="BE70" i="1" s="1"/>
  <c r="EG67" i="1"/>
  <c r="EL67" i="1" s="1"/>
  <c r="EN67" i="1" s="1"/>
  <c r="EP67" i="1" s="1"/>
  <c r="ER67" i="1" s="1"/>
  <c r="BN67" i="1"/>
  <c r="BP67" i="1"/>
  <c r="R70" i="1" s="1"/>
  <c r="CS69" i="1"/>
  <c r="DE69" i="1" s="1"/>
  <c r="CO69" i="1"/>
  <c r="DA69" i="1" s="1"/>
  <c r="BF70" i="1" s="1"/>
  <c r="AU70" i="1"/>
  <c r="DH71" i="1"/>
  <c r="U72" i="1"/>
  <c r="AJ71" i="1"/>
  <c r="BO69" i="1"/>
  <c r="BQ69" i="1"/>
  <c r="AD70" i="1" s="1"/>
  <c r="CH69" i="1"/>
  <c r="CT69" i="1" s="1"/>
  <c r="AX69" i="1" s="1"/>
  <c r="AY70" i="1" s="1"/>
  <c r="CI69" i="1"/>
  <c r="CU69" i="1" s="1"/>
  <c r="AZ70" i="1" s="1"/>
  <c r="CR69" i="1"/>
  <c r="DD69" i="1" s="1"/>
  <c r="BI70" i="1" s="1"/>
  <c r="CJ69" i="1"/>
  <c r="CV69" i="1" s="1"/>
  <c r="BA70" i="1" s="1"/>
  <c r="CQ69" i="1"/>
  <c r="DC69" i="1" s="1"/>
  <c r="BH70" i="1" s="1"/>
  <c r="CK69" i="1"/>
  <c r="CW69" i="1" s="1"/>
  <c r="BB70" i="1" s="1"/>
  <c r="EH69" i="1"/>
  <c r="AC70" i="1"/>
  <c r="AV70" i="1"/>
  <c r="EE68" i="1"/>
  <c r="CL69" i="1"/>
  <c r="CX69" i="1" s="1"/>
  <c r="BC70" i="1" s="1"/>
  <c r="EM69" i="1" l="1"/>
  <c r="EO69" i="1" s="1"/>
  <c r="EQ69" i="1" s="1"/>
  <c r="ES69" i="1" s="1"/>
  <c r="AS70" i="1"/>
  <c r="DQ70" i="1"/>
  <c r="AT70" i="1"/>
  <c r="CE70" i="1"/>
  <c r="DF70" i="1"/>
  <c r="CF70" i="1"/>
  <c r="AH70" i="1"/>
  <c r="S71" i="1"/>
  <c r="CD70" i="1"/>
  <c r="AE71" i="1" s="1"/>
  <c r="CG70" i="1"/>
  <c r="DU70" i="1" s="1"/>
  <c r="DV69" i="1"/>
  <c r="EF68" i="1"/>
  <c r="DI72" i="1"/>
  <c r="AK72" i="1"/>
  <c r="V73" i="1"/>
  <c r="AU71" i="1" l="1"/>
  <c r="AL73" i="1"/>
  <c r="W74" i="1"/>
  <c r="DJ73" i="1"/>
  <c r="DW69" i="1"/>
  <c r="DS70" i="1"/>
  <c r="AF71" i="1"/>
  <c r="DR70" i="1"/>
  <c r="EG68" i="1"/>
  <c r="EL68" i="1" s="1"/>
  <c r="EN68" i="1" s="1"/>
  <c r="EP68" i="1" s="1"/>
  <c r="ER68" i="1" s="1"/>
  <c r="BN68" i="1"/>
  <c r="BP68" i="1"/>
  <c r="R71" i="1" s="1"/>
  <c r="DG71" i="1"/>
  <c r="AI71" i="1"/>
  <c r="T72" i="1"/>
  <c r="BM70" i="1"/>
  <c r="EK70" i="1" s="1"/>
  <c r="BK70" i="1"/>
  <c r="BL70" i="1"/>
  <c r="BJ70" i="1"/>
  <c r="DT70" i="1"/>
  <c r="AG71" i="1"/>
  <c r="AW71" i="1" s="1"/>
  <c r="BO70" i="1" l="1"/>
  <c r="CQ70" i="1"/>
  <c r="DC70" i="1" s="1"/>
  <c r="BH71" i="1" s="1"/>
  <c r="CI70" i="1"/>
  <c r="CU70" i="1" s="1"/>
  <c r="AZ71" i="1" s="1"/>
  <c r="DX69" i="1"/>
  <c r="U73" i="1"/>
  <c r="AJ72" i="1"/>
  <c r="DH72" i="1"/>
  <c r="CJ70" i="1"/>
  <c r="CV70" i="1" s="1"/>
  <c r="BA71" i="1" s="1"/>
  <c r="CR70" i="1"/>
  <c r="DD70" i="1" s="1"/>
  <c r="BI71" i="1" s="1"/>
  <c r="CK70" i="1"/>
  <c r="CW70" i="1" s="1"/>
  <c r="BB71" i="1" s="1"/>
  <c r="EH70" i="1"/>
  <c r="AC71" i="1"/>
  <c r="CG71" i="1" s="1"/>
  <c r="DU71" i="1" s="1"/>
  <c r="CL70" i="1"/>
  <c r="CX70" i="1" s="1"/>
  <c r="BC71" i="1" s="1"/>
  <c r="AM74" i="1"/>
  <c r="X75" i="1"/>
  <c r="DK74" i="1"/>
  <c r="AH71" i="1"/>
  <c r="S72" i="1"/>
  <c r="DF71" i="1"/>
  <c r="CM70" i="1"/>
  <c r="CY70" i="1" s="1"/>
  <c r="BD71" i="1" s="1"/>
  <c r="CH70" i="1"/>
  <c r="CT70" i="1" s="1"/>
  <c r="AX70" i="1" s="1"/>
  <c r="AY71" i="1" s="1"/>
  <c r="CN70" i="1"/>
  <c r="CZ70" i="1" s="1"/>
  <c r="BE71" i="1" s="1"/>
  <c r="AV71" i="1"/>
  <c r="CO70" i="1"/>
  <c r="DA70" i="1" s="1"/>
  <c r="BF71" i="1" s="1"/>
  <c r="EI70" i="1"/>
  <c r="EJ70" i="1"/>
  <c r="CS70" i="1"/>
  <c r="DE70" i="1" s="1"/>
  <c r="BQ70" i="1"/>
  <c r="AD71" i="1" s="1"/>
  <c r="CP70" i="1"/>
  <c r="DB70" i="1" s="1"/>
  <c r="BG71" i="1" s="1"/>
  <c r="CD71" i="1" l="1"/>
  <c r="AE72" i="1" s="1"/>
  <c r="CE71" i="1"/>
  <c r="AF72" i="1" s="1"/>
  <c r="CF71" i="1"/>
  <c r="DT71" i="1" s="1"/>
  <c r="AT71" i="1"/>
  <c r="BM71" i="1" s="1"/>
  <c r="EK71" i="1" s="1"/>
  <c r="DV70" i="1"/>
  <c r="DQ71" i="1"/>
  <c r="AS71" i="1"/>
  <c r="V74" i="1"/>
  <c r="DI73" i="1"/>
  <c r="AK73" i="1"/>
  <c r="EM70" i="1"/>
  <c r="EO70" i="1" s="1"/>
  <c r="EQ70" i="1" s="1"/>
  <c r="ES70" i="1" s="1"/>
  <c r="T73" i="1"/>
  <c r="AI72" i="1"/>
  <c r="DG72" i="1"/>
  <c r="Y76" i="1"/>
  <c r="DL75" i="1"/>
  <c r="AN75" i="1"/>
  <c r="DY69" i="1"/>
  <c r="DR71" i="1" l="1"/>
  <c r="AC72" i="1" s="1"/>
  <c r="BK71" i="1"/>
  <c r="BL71" i="1"/>
  <c r="EJ71" i="1" s="1"/>
  <c r="DS71" i="1"/>
  <c r="BJ71" i="1"/>
  <c r="AG72" i="1"/>
  <c r="AW72" i="1" s="1"/>
  <c r="AV72" i="1"/>
  <c r="DW70" i="1"/>
  <c r="U74" i="1"/>
  <c r="AJ73" i="1"/>
  <c r="DH73" i="1"/>
  <c r="AU72" i="1"/>
  <c r="DM76" i="1"/>
  <c r="Z77" i="1"/>
  <c r="AO76" i="1"/>
  <c r="W75" i="1"/>
  <c r="AL74" i="1"/>
  <c r="DJ74" i="1"/>
  <c r="DZ69" i="1"/>
  <c r="CH71" i="1" l="1"/>
  <c r="CT71" i="1" s="1"/>
  <c r="AX71" i="1" s="1"/>
  <c r="AY72" i="1" s="1"/>
  <c r="CO71" i="1"/>
  <c r="DA71" i="1" s="1"/>
  <c r="BF72" i="1" s="1"/>
  <c r="EI71" i="1"/>
  <c r="CK71" i="1"/>
  <c r="CW71" i="1" s="1"/>
  <c r="BB72" i="1" s="1"/>
  <c r="CN71" i="1"/>
  <c r="CZ71" i="1" s="1"/>
  <c r="BE72" i="1" s="1"/>
  <c r="CP71" i="1"/>
  <c r="DB71" i="1" s="1"/>
  <c r="BG72" i="1" s="1"/>
  <c r="BO71" i="1"/>
  <c r="CS71" i="1"/>
  <c r="DE71" i="1" s="1"/>
  <c r="EH71" i="1"/>
  <c r="CI71" i="1"/>
  <c r="CU71" i="1" s="1"/>
  <c r="AZ72" i="1" s="1"/>
  <c r="BQ71" i="1"/>
  <c r="AD72" i="1" s="1"/>
  <c r="AT72" i="1" s="1"/>
  <c r="CL71" i="1"/>
  <c r="CX71" i="1" s="1"/>
  <c r="BC72" i="1" s="1"/>
  <c r="CQ71" i="1"/>
  <c r="DC71" i="1" s="1"/>
  <c r="BH72" i="1" s="1"/>
  <c r="CJ71" i="1"/>
  <c r="CV71" i="1" s="1"/>
  <c r="BA72" i="1" s="1"/>
  <c r="CR71" i="1"/>
  <c r="DD71" i="1" s="1"/>
  <c r="BI72" i="1" s="1"/>
  <c r="CM71" i="1"/>
  <c r="CY71" i="1" s="1"/>
  <c r="BD72" i="1" s="1"/>
  <c r="DW71" i="1"/>
  <c r="DQ72" i="1"/>
  <c r="AS72" i="1"/>
  <c r="AP77" i="1"/>
  <c r="AA78" i="1"/>
  <c r="DN77" i="1"/>
  <c r="EA69" i="1"/>
  <c r="DI74" i="1"/>
  <c r="AK74" i="1"/>
  <c r="V75" i="1"/>
  <c r="X76" i="1"/>
  <c r="DK75" i="1"/>
  <c r="AM75" i="1"/>
  <c r="DX70" i="1"/>
  <c r="DV71" i="1" l="1"/>
  <c r="EM71" i="1"/>
  <c r="EO71" i="1" s="1"/>
  <c r="EQ71" i="1" s="1"/>
  <c r="ES71" i="1" s="1"/>
  <c r="DJ75" i="1"/>
  <c r="AL75" i="1"/>
  <c r="W76" i="1"/>
  <c r="DY70" i="1"/>
  <c r="EB69" i="1"/>
  <c r="AN76" i="1"/>
  <c r="DL76" i="1"/>
  <c r="Y77" i="1"/>
  <c r="DO78" i="1"/>
  <c r="AB79" i="1"/>
  <c r="AQ78" i="1"/>
  <c r="DX71" i="1"/>
  <c r="DY71" i="1" l="1"/>
  <c r="EC69" i="1"/>
  <c r="AO77" i="1"/>
  <c r="Z78" i="1"/>
  <c r="DM77" i="1"/>
  <c r="DZ70" i="1"/>
  <c r="AR79" i="1"/>
  <c r="DP79" i="1"/>
  <c r="X77" i="1"/>
  <c r="DK76" i="1"/>
  <c r="AM76" i="1"/>
  <c r="AP78" i="1" l="1"/>
  <c r="AA79" i="1"/>
  <c r="DN78" i="1"/>
  <c r="ED69" i="1"/>
  <c r="DL77" i="1"/>
  <c r="AN77" i="1"/>
  <c r="Y78" i="1"/>
  <c r="EA70" i="1"/>
  <c r="DZ71" i="1"/>
  <c r="EA71" i="1" l="1"/>
  <c r="EE69" i="1"/>
  <c r="Z79" i="1"/>
  <c r="AO78" i="1"/>
  <c r="DM78" i="1"/>
  <c r="AB80" i="1"/>
  <c r="DO79" i="1"/>
  <c r="AQ79" i="1"/>
  <c r="EB70" i="1"/>
  <c r="EF69" i="1" l="1"/>
  <c r="AR80" i="1"/>
  <c r="DP80" i="1"/>
  <c r="EB71" i="1"/>
  <c r="EC70" i="1"/>
  <c r="AA80" i="1"/>
  <c r="DN79" i="1"/>
  <c r="AP79" i="1"/>
  <c r="DO80" i="1" l="1"/>
  <c r="AQ80" i="1"/>
  <c r="AB81" i="1"/>
  <c r="EG69" i="1"/>
  <c r="EL69" i="1" s="1"/>
  <c r="EN69" i="1" s="1"/>
  <c r="EP69" i="1" s="1"/>
  <c r="ER69" i="1" s="1"/>
  <c r="BP69" i="1"/>
  <c r="R72" i="1" s="1"/>
  <c r="BN69" i="1"/>
  <c r="ED70" i="1"/>
  <c r="EC71" i="1"/>
  <c r="DF72" i="1" l="1"/>
  <c r="AH72" i="1"/>
  <c r="S73" i="1"/>
  <c r="CF72" i="1"/>
  <c r="CE72" i="1"/>
  <c r="CD72" i="1"/>
  <c r="CG72" i="1"/>
  <c r="DU72" i="1" s="1"/>
  <c r="ED71" i="1"/>
  <c r="AR81" i="1"/>
  <c r="DP81" i="1"/>
  <c r="EE70" i="1"/>
  <c r="DR72" i="1" l="1"/>
  <c r="AE73" i="1"/>
  <c r="DS72" i="1"/>
  <c r="AF73" i="1"/>
  <c r="DT72" i="1"/>
  <c r="AG73" i="1"/>
  <c r="AW73" i="1" s="1"/>
  <c r="EF70" i="1"/>
  <c r="T74" i="1"/>
  <c r="AI73" i="1"/>
  <c r="DG73" i="1"/>
  <c r="BK72" i="1"/>
  <c r="BL72" i="1"/>
  <c r="BM72" i="1"/>
  <c r="EK72" i="1" s="1"/>
  <c r="BJ72" i="1"/>
  <c r="EE71" i="1"/>
  <c r="CP72" i="1" l="1"/>
  <c r="DB72" i="1" s="1"/>
  <c r="BG73" i="1" s="1"/>
  <c r="EJ72" i="1"/>
  <c r="CL72" i="1"/>
  <c r="CX72" i="1" s="1"/>
  <c r="BC73" i="1" s="1"/>
  <c r="AV73" i="1"/>
  <c r="CM72" i="1"/>
  <c r="CY72" i="1" s="1"/>
  <c r="BD73" i="1" s="1"/>
  <c r="EI72" i="1"/>
  <c r="CN72" i="1"/>
  <c r="CZ72" i="1" s="1"/>
  <c r="BE73" i="1" s="1"/>
  <c r="CS72" i="1"/>
  <c r="DE72" i="1" s="1"/>
  <c r="CO72" i="1"/>
  <c r="DA72" i="1" s="1"/>
  <c r="BF73" i="1" s="1"/>
  <c r="EF71" i="1"/>
  <c r="DH74" i="1"/>
  <c r="U75" i="1"/>
  <c r="AJ74" i="1"/>
  <c r="AU73" i="1"/>
  <c r="BO72" i="1"/>
  <c r="BQ72" i="1"/>
  <c r="AD73" i="1" s="1"/>
  <c r="CH72" i="1"/>
  <c r="CT72" i="1" s="1"/>
  <c r="AX72" i="1" s="1"/>
  <c r="AY73" i="1" s="1"/>
  <c r="CI72" i="1"/>
  <c r="CU72" i="1" s="1"/>
  <c r="AZ73" i="1" s="1"/>
  <c r="CR72" i="1"/>
  <c r="DD72" i="1" s="1"/>
  <c r="BI73" i="1" s="1"/>
  <c r="EG70" i="1"/>
  <c r="EL70" i="1" s="1"/>
  <c r="EN70" i="1" s="1"/>
  <c r="EP70" i="1" s="1"/>
  <c r="ER70" i="1" s="1"/>
  <c r="BP70" i="1"/>
  <c r="R73" i="1" s="1"/>
  <c r="BN70" i="1"/>
  <c r="CJ72" i="1"/>
  <c r="CV72" i="1" s="1"/>
  <c r="BA73" i="1" s="1"/>
  <c r="CQ72" i="1"/>
  <c r="DC72" i="1" s="1"/>
  <c r="BH73" i="1" s="1"/>
  <c r="CK72" i="1"/>
  <c r="CW72" i="1" s="1"/>
  <c r="BB73" i="1" s="1"/>
  <c r="EH72" i="1"/>
  <c r="AC73" i="1"/>
  <c r="EM72" i="1" l="1"/>
  <c r="EO72" i="1" s="1"/>
  <c r="EQ72" i="1" s="1"/>
  <c r="ES72" i="1" s="1"/>
  <c r="AH73" i="1"/>
  <c r="DF73" i="1"/>
  <c r="S74" i="1"/>
  <c r="CG73" i="1"/>
  <c r="DU73" i="1" s="1"/>
  <c r="CF73" i="1"/>
  <c r="CE73" i="1"/>
  <c r="CD73" i="1"/>
  <c r="AS73" i="1"/>
  <c r="DQ73" i="1"/>
  <c r="AK75" i="1"/>
  <c r="V76" i="1"/>
  <c r="DI75" i="1"/>
  <c r="DV72" i="1"/>
  <c r="AT73" i="1"/>
  <c r="EG71" i="1"/>
  <c r="EL71" i="1" s="1"/>
  <c r="EN71" i="1" s="1"/>
  <c r="EP71" i="1" s="1"/>
  <c r="ER71" i="1" s="1"/>
  <c r="BP71" i="1"/>
  <c r="R74" i="1" s="1"/>
  <c r="BN71" i="1"/>
  <c r="AE74" i="1" l="1"/>
  <c r="DR73" i="1"/>
  <c r="DF74" i="1"/>
  <c r="AH74" i="1"/>
  <c r="S75" i="1"/>
  <c r="DS73" i="1"/>
  <c r="AF74" i="1"/>
  <c r="W77" i="1"/>
  <c r="DJ76" i="1"/>
  <c r="AL76" i="1"/>
  <c r="DT73" i="1"/>
  <c r="AG74" i="1"/>
  <c r="AW74" i="1" s="1"/>
  <c r="T75" i="1"/>
  <c r="AI74" i="1"/>
  <c r="DG74" i="1"/>
  <c r="DW72" i="1"/>
  <c r="BL73" i="1"/>
  <c r="BJ73" i="1"/>
  <c r="BM73" i="1"/>
  <c r="BK73" i="1"/>
  <c r="CM73" i="1" l="1"/>
  <c r="CY73" i="1" s="1"/>
  <c r="BD74" i="1" s="1"/>
  <c r="CJ73" i="1"/>
  <c r="CV73" i="1" s="1"/>
  <c r="BA74" i="1" s="1"/>
  <c r="CS73" i="1"/>
  <c r="DE73" i="1" s="1"/>
  <c r="AJ75" i="1"/>
  <c r="U76" i="1"/>
  <c r="DH75" i="1"/>
  <c r="CL73" i="1"/>
  <c r="CX73" i="1" s="1"/>
  <c r="BC74" i="1" s="1"/>
  <c r="DK77" i="1"/>
  <c r="AM77" i="1"/>
  <c r="X78" i="1"/>
  <c r="CN73" i="1"/>
  <c r="CZ73" i="1" s="1"/>
  <c r="BE74" i="1" s="1"/>
  <c r="AV74" i="1"/>
  <c r="CO73" i="1"/>
  <c r="DA73" i="1" s="1"/>
  <c r="BF74" i="1" s="1"/>
  <c r="EI73" i="1"/>
  <c r="CP73" i="1"/>
  <c r="DB73" i="1" s="1"/>
  <c r="BG74" i="1" s="1"/>
  <c r="DX72" i="1"/>
  <c r="CR73" i="1"/>
  <c r="DD73" i="1" s="1"/>
  <c r="BI74" i="1" s="1"/>
  <c r="EK73" i="1"/>
  <c r="EJ73" i="1"/>
  <c r="CI73" i="1"/>
  <c r="CU73" i="1" s="1"/>
  <c r="AZ74" i="1" s="1"/>
  <c r="CQ73" i="1"/>
  <c r="DC73" i="1" s="1"/>
  <c r="BH74" i="1" s="1"/>
  <c r="EH73" i="1"/>
  <c r="AC74" i="1"/>
  <c r="BO73" i="1"/>
  <c r="CH73" i="1"/>
  <c r="CT73" i="1" s="1"/>
  <c r="AX73" i="1" s="1"/>
  <c r="AY74" i="1" s="1"/>
  <c r="BQ73" i="1"/>
  <c r="AD74" i="1" s="1"/>
  <c r="DG75" i="1"/>
  <c r="AI75" i="1"/>
  <c r="T76" i="1"/>
  <c r="CK73" i="1"/>
  <c r="CW73" i="1" s="1"/>
  <c r="BB74" i="1" s="1"/>
  <c r="AU74" i="1"/>
  <c r="EM73" i="1" l="1"/>
  <c r="EO73" i="1" s="1"/>
  <c r="EQ73" i="1" s="1"/>
  <c r="ES73" i="1" s="1"/>
  <c r="AS74" i="1"/>
  <c r="DQ74" i="1"/>
  <c r="CE74" i="1"/>
  <c r="CG74" i="1"/>
  <c r="DU74" i="1" s="1"/>
  <c r="CF74" i="1"/>
  <c r="CD74" i="1"/>
  <c r="AJ76" i="1"/>
  <c r="DH76" i="1"/>
  <c r="U77" i="1"/>
  <c r="DY72" i="1"/>
  <c r="Y79" i="1"/>
  <c r="DL78" i="1"/>
  <c r="AN78" i="1"/>
  <c r="V77" i="1"/>
  <c r="DI76" i="1"/>
  <c r="AK76" i="1"/>
  <c r="AT74" i="1"/>
  <c r="DV73" i="1"/>
  <c r="DM79" i="1" l="1"/>
  <c r="Z80" i="1"/>
  <c r="AO79" i="1"/>
  <c r="DR74" i="1"/>
  <c r="DT74" i="1"/>
  <c r="AG75" i="1"/>
  <c r="AW75" i="1" s="1"/>
  <c r="DW73" i="1"/>
  <c r="DZ72" i="1"/>
  <c r="DS74" i="1"/>
  <c r="AF75" i="1"/>
  <c r="AL77" i="1"/>
  <c r="W78" i="1"/>
  <c r="DJ77" i="1"/>
  <c r="AE75" i="1"/>
  <c r="BJ74" i="1"/>
  <c r="BL74" i="1"/>
  <c r="BK74" i="1"/>
  <c r="BM74" i="1"/>
  <c r="EK74" i="1" s="1"/>
  <c r="AK77" i="1"/>
  <c r="V78" i="1"/>
  <c r="DI77" i="1"/>
  <c r="CM74" i="1" l="1"/>
  <c r="CY74" i="1" s="1"/>
  <c r="BD75" i="1" s="1"/>
  <c r="CS74" i="1"/>
  <c r="DE74" i="1" s="1"/>
  <c r="CI74" i="1"/>
  <c r="CU74" i="1" s="1"/>
  <c r="AZ75" i="1" s="1"/>
  <c r="CP74" i="1"/>
  <c r="DB74" i="1" s="1"/>
  <c r="BG75" i="1" s="1"/>
  <c r="DJ78" i="1"/>
  <c r="AL78" i="1"/>
  <c r="W79" i="1"/>
  <c r="AU75" i="1"/>
  <c r="CH74" i="1"/>
  <c r="CT74" i="1" s="1"/>
  <c r="AX74" i="1" s="1"/>
  <c r="AY75" i="1" s="1"/>
  <c r="CR74" i="1"/>
  <c r="DD74" i="1" s="1"/>
  <c r="BI75" i="1" s="1"/>
  <c r="EA72" i="1"/>
  <c r="CJ74" i="1"/>
  <c r="CV74" i="1" s="1"/>
  <c r="BA75" i="1" s="1"/>
  <c r="EH74" i="1"/>
  <c r="AC75" i="1"/>
  <c r="CK74" i="1"/>
  <c r="CW74" i="1" s="1"/>
  <c r="BB75" i="1" s="1"/>
  <c r="X79" i="1"/>
  <c r="DK78" i="1"/>
  <c r="AM78" i="1"/>
  <c r="DX73" i="1"/>
  <c r="CL74" i="1"/>
  <c r="CX74" i="1" s="1"/>
  <c r="BC75" i="1" s="1"/>
  <c r="AP80" i="1"/>
  <c r="AA81" i="1"/>
  <c r="DN80" i="1"/>
  <c r="CQ74" i="1"/>
  <c r="DC74" i="1" s="1"/>
  <c r="BH75" i="1" s="1"/>
  <c r="BO74" i="1"/>
  <c r="AV75" i="1"/>
  <c r="EJ74" i="1"/>
  <c r="CN74" i="1"/>
  <c r="CZ74" i="1" s="1"/>
  <c r="BE75" i="1" s="1"/>
  <c r="BQ74" i="1"/>
  <c r="AD75" i="1" s="1"/>
  <c r="EI74" i="1"/>
  <c r="CO74" i="1"/>
  <c r="DA74" i="1" s="1"/>
  <c r="BF75" i="1" s="1"/>
  <c r="EM74" i="1" l="1"/>
  <c r="EO74" i="1" s="1"/>
  <c r="EQ74" i="1" s="1"/>
  <c r="ES74" i="1" s="1"/>
  <c r="AT75" i="1"/>
  <c r="AQ81" i="1"/>
  <c r="DO81" i="1"/>
  <c r="AB82" i="1"/>
  <c r="X80" i="1"/>
  <c r="DK79" i="1"/>
  <c r="AM79" i="1"/>
  <c r="Y80" i="1"/>
  <c r="DL79" i="1"/>
  <c r="AN79" i="1"/>
  <c r="EB72" i="1"/>
  <c r="DV74" i="1"/>
  <c r="DY73" i="1"/>
  <c r="AS75" i="1"/>
  <c r="DQ75" i="1"/>
  <c r="DP82" i="1" l="1"/>
  <c r="AR82" i="1"/>
  <c r="DW74" i="1"/>
  <c r="AO80" i="1"/>
  <c r="DM80" i="1"/>
  <c r="Z81" i="1"/>
  <c r="DZ73" i="1"/>
  <c r="EC72" i="1"/>
  <c r="AN80" i="1"/>
  <c r="DL80" i="1"/>
  <c r="Y81" i="1"/>
  <c r="EA73" i="1" l="1"/>
  <c r="DX74" i="1"/>
  <c r="ED72" i="1"/>
  <c r="AP81" i="1"/>
  <c r="AA82" i="1"/>
  <c r="DN81" i="1"/>
  <c r="DM81" i="1"/>
  <c r="Z82" i="1"/>
  <c r="AO81" i="1"/>
  <c r="EE72" i="1" l="1"/>
  <c r="DY74" i="1"/>
  <c r="EB73" i="1"/>
  <c r="AP82" i="1"/>
  <c r="DN82" i="1"/>
  <c r="AA83" i="1"/>
  <c r="AB83" i="1"/>
  <c r="AQ82" i="1"/>
  <c r="DO82" i="1"/>
  <c r="EC73" i="1" l="1"/>
  <c r="DZ74" i="1"/>
  <c r="DP83" i="1"/>
  <c r="AR83" i="1"/>
  <c r="AQ83" i="1"/>
  <c r="AB84" i="1"/>
  <c r="DO83" i="1"/>
  <c r="EF72" i="1"/>
  <c r="AR84" i="1" l="1"/>
  <c r="DP84" i="1"/>
  <c r="EA74" i="1"/>
  <c r="EG72" i="1"/>
  <c r="EL72" i="1" s="1"/>
  <c r="EN72" i="1" s="1"/>
  <c r="EP72" i="1" s="1"/>
  <c r="ER72" i="1" s="1"/>
  <c r="BP72" i="1"/>
  <c r="R75" i="1" s="1"/>
  <c r="BN72" i="1"/>
  <c r="ED73" i="1"/>
  <c r="DF75" i="1" l="1"/>
  <c r="AH75" i="1"/>
  <c r="S76" i="1"/>
  <c r="CF75" i="1"/>
  <c r="CG75" i="1"/>
  <c r="DU75" i="1" s="1"/>
  <c r="CD75" i="1"/>
  <c r="CE75" i="1"/>
  <c r="EB74" i="1"/>
  <c r="EE73" i="1"/>
  <c r="DS75" i="1" l="1"/>
  <c r="AF76" i="1"/>
  <c r="AE76" i="1"/>
  <c r="DR75" i="1"/>
  <c r="DT75" i="1"/>
  <c r="AG76" i="1"/>
  <c r="AW76" i="1" s="1"/>
  <c r="DG76" i="1"/>
  <c r="AI76" i="1"/>
  <c r="T77" i="1"/>
  <c r="BL75" i="1"/>
  <c r="BK75" i="1"/>
  <c r="BJ75" i="1"/>
  <c r="BM75" i="1"/>
  <c r="EK75" i="1" s="1"/>
  <c r="EF73" i="1"/>
  <c r="EC74" i="1"/>
  <c r="CL75" i="1" l="1"/>
  <c r="CX75" i="1" s="1"/>
  <c r="BC76" i="1" s="1"/>
  <c r="EJ75" i="1"/>
  <c r="CP75" i="1"/>
  <c r="DB75" i="1" s="1"/>
  <c r="BG76" i="1" s="1"/>
  <c r="CS75" i="1"/>
  <c r="DE75" i="1" s="1"/>
  <c r="CQ75" i="1"/>
  <c r="DC75" i="1" s="1"/>
  <c r="BH76" i="1" s="1"/>
  <c r="CI75" i="1"/>
  <c r="CU75" i="1" s="1"/>
  <c r="AZ76" i="1" s="1"/>
  <c r="CR75" i="1"/>
  <c r="DD75" i="1" s="1"/>
  <c r="BI76" i="1" s="1"/>
  <c r="CO75" i="1"/>
  <c r="DA75" i="1" s="1"/>
  <c r="BF76" i="1" s="1"/>
  <c r="ED74" i="1"/>
  <c r="DH77" i="1"/>
  <c r="U78" i="1"/>
  <c r="AJ77" i="1"/>
  <c r="CK75" i="1"/>
  <c r="CW75" i="1" s="1"/>
  <c r="BB76" i="1" s="1"/>
  <c r="EH75" i="1"/>
  <c r="AC76" i="1"/>
  <c r="AU76" i="1"/>
  <c r="CJ75" i="1"/>
  <c r="CV75" i="1" s="1"/>
  <c r="BA76" i="1" s="1"/>
  <c r="BO75" i="1"/>
  <c r="BQ75" i="1"/>
  <c r="AD76" i="1" s="1"/>
  <c r="CH75" i="1"/>
  <c r="CT75" i="1" s="1"/>
  <c r="AX75" i="1" s="1"/>
  <c r="AY76" i="1" s="1"/>
  <c r="EG73" i="1"/>
  <c r="EL73" i="1" s="1"/>
  <c r="EN73" i="1" s="1"/>
  <c r="EP73" i="1" s="1"/>
  <c r="ER73" i="1" s="1"/>
  <c r="BN73" i="1"/>
  <c r="BP73" i="1"/>
  <c r="R76" i="1" s="1"/>
  <c r="CM75" i="1"/>
  <c r="CY75" i="1" s="1"/>
  <c r="BD76" i="1" s="1"/>
  <c r="AV76" i="1"/>
  <c r="CN75" i="1"/>
  <c r="CZ75" i="1" s="1"/>
  <c r="BE76" i="1" s="1"/>
  <c r="EI75" i="1"/>
  <c r="DQ76" i="1" l="1"/>
  <c r="AS76" i="1"/>
  <c r="AH76" i="1"/>
  <c r="S77" i="1"/>
  <c r="CG76" i="1"/>
  <c r="DU76" i="1" s="1"/>
  <c r="CD76" i="1"/>
  <c r="AE77" i="1" s="1"/>
  <c r="CF76" i="1"/>
  <c r="CE76" i="1"/>
  <c r="DF76" i="1"/>
  <c r="EM75" i="1"/>
  <c r="EO75" i="1" s="1"/>
  <c r="EQ75" i="1" s="1"/>
  <c r="ES75" i="1" s="1"/>
  <c r="EE74" i="1"/>
  <c r="AT76" i="1"/>
  <c r="DV75" i="1"/>
  <c r="AK78" i="1"/>
  <c r="DI78" i="1"/>
  <c r="V79" i="1"/>
  <c r="DR76" i="1" l="1"/>
  <c r="W80" i="1"/>
  <c r="AL79" i="1"/>
  <c r="DJ79" i="1"/>
  <c r="EF74" i="1"/>
  <c r="T78" i="1"/>
  <c r="AI77" i="1"/>
  <c r="DG77" i="1"/>
  <c r="AU77" i="1"/>
  <c r="BM76" i="1"/>
  <c r="EK76" i="1" s="1"/>
  <c r="BJ76" i="1"/>
  <c r="BK76" i="1"/>
  <c r="BL76" i="1"/>
  <c r="DW75" i="1"/>
  <c r="DT76" i="1"/>
  <c r="AG77" i="1"/>
  <c r="AW77" i="1" s="1"/>
  <c r="DS76" i="1"/>
  <c r="AF77" i="1"/>
  <c r="CP76" i="1" l="1"/>
  <c r="DB76" i="1" s="1"/>
  <c r="BG77" i="1" s="1"/>
  <c r="EI76" i="1"/>
  <c r="EJ76" i="1"/>
  <c r="CK76" i="1"/>
  <c r="CW76" i="1" s="1"/>
  <c r="BB77" i="1" s="1"/>
  <c r="EG74" i="1"/>
  <c r="EL74" i="1" s="1"/>
  <c r="EN74" i="1" s="1"/>
  <c r="EP74" i="1" s="1"/>
  <c r="ER74" i="1" s="1"/>
  <c r="BN74" i="1"/>
  <c r="BP74" i="1"/>
  <c r="R77" i="1" s="1"/>
  <c r="CL76" i="1"/>
  <c r="CX76" i="1" s="1"/>
  <c r="BC77" i="1" s="1"/>
  <c r="DX75" i="1"/>
  <c r="CM76" i="1"/>
  <c r="CY76" i="1" s="1"/>
  <c r="BD77" i="1" s="1"/>
  <c r="CS76" i="1"/>
  <c r="DE76" i="1" s="1"/>
  <c r="CN76" i="1"/>
  <c r="CZ76" i="1" s="1"/>
  <c r="BE77" i="1" s="1"/>
  <c r="CH76" i="1"/>
  <c r="CT76" i="1" s="1"/>
  <c r="AX76" i="1" s="1"/>
  <c r="AY77" i="1" s="1"/>
  <c r="CO76" i="1"/>
  <c r="DA76" i="1" s="1"/>
  <c r="BF77" i="1" s="1"/>
  <c r="AV77" i="1"/>
  <c r="AM80" i="1"/>
  <c r="DK80" i="1"/>
  <c r="X81" i="1"/>
  <c r="CQ76" i="1"/>
  <c r="DC76" i="1" s="1"/>
  <c r="BH77" i="1" s="1"/>
  <c r="BO76" i="1"/>
  <c r="CI76" i="1"/>
  <c r="CU76" i="1" s="1"/>
  <c r="AZ77" i="1" s="1"/>
  <c r="EH76" i="1"/>
  <c r="AC77" i="1"/>
  <c r="CR76" i="1"/>
  <c r="DD76" i="1" s="1"/>
  <c r="BI77" i="1" s="1"/>
  <c r="U79" i="1"/>
  <c r="AJ78" i="1"/>
  <c r="DH78" i="1"/>
  <c r="CJ76" i="1"/>
  <c r="CV76" i="1" s="1"/>
  <c r="BA77" i="1" s="1"/>
  <c r="BQ76" i="1"/>
  <c r="AD77" i="1" s="1"/>
  <c r="EM76" i="1" l="1"/>
  <c r="EO76" i="1" s="1"/>
  <c r="EQ76" i="1" s="1"/>
  <c r="ES76" i="1" s="1"/>
  <c r="DV76" i="1"/>
  <c r="DY75" i="1"/>
  <c r="AK79" i="1"/>
  <c r="V80" i="1"/>
  <c r="DI79" i="1"/>
  <c r="S78" i="1"/>
  <c r="AH77" i="1"/>
  <c r="CD77" i="1"/>
  <c r="CG77" i="1"/>
  <c r="DU77" i="1" s="1"/>
  <c r="CE77" i="1"/>
  <c r="CF77" i="1"/>
  <c r="DF77" i="1"/>
  <c r="AN81" i="1"/>
  <c r="DL81" i="1"/>
  <c r="Y82" i="1"/>
  <c r="AS77" i="1"/>
  <c r="DQ77" i="1"/>
  <c r="AT77" i="1"/>
  <c r="Z83" i="1" l="1"/>
  <c r="DM82" i="1"/>
  <c r="AO82" i="1"/>
  <c r="DR77" i="1"/>
  <c r="BJ77" i="1"/>
  <c r="BK77" i="1"/>
  <c r="BL77" i="1"/>
  <c r="BM77" i="1"/>
  <c r="EK77" i="1" s="1"/>
  <c r="DZ75" i="1"/>
  <c r="AE78" i="1"/>
  <c r="T79" i="1"/>
  <c r="AI78" i="1"/>
  <c r="DG78" i="1"/>
  <c r="DT77" i="1"/>
  <c r="AG78" i="1"/>
  <c r="AW78" i="1" s="1"/>
  <c r="DW76" i="1"/>
  <c r="DS77" i="1"/>
  <c r="AF78" i="1"/>
  <c r="AL80" i="1"/>
  <c r="W81" i="1"/>
  <c r="DJ80" i="1"/>
  <c r="EJ77" i="1" l="1"/>
  <c r="CK77" i="1"/>
  <c r="CW77" i="1" s="1"/>
  <c r="BB78" i="1" s="1"/>
  <c r="EI77" i="1"/>
  <c r="CS77" i="1"/>
  <c r="DE77" i="1" s="1"/>
  <c r="CR77" i="1"/>
  <c r="DD77" i="1" s="1"/>
  <c r="BI78" i="1" s="1"/>
  <c r="CH77" i="1"/>
  <c r="CT77" i="1" s="1"/>
  <c r="AX77" i="1" s="1"/>
  <c r="AY78" i="1" s="1"/>
  <c r="CI77" i="1"/>
  <c r="CU77" i="1" s="1"/>
  <c r="AZ78" i="1" s="1"/>
  <c r="CQ77" i="1"/>
  <c r="DC77" i="1" s="1"/>
  <c r="BH78" i="1" s="1"/>
  <c r="AU78" i="1"/>
  <c r="DX76" i="1"/>
  <c r="BQ77" i="1"/>
  <c r="AD78" i="1" s="1"/>
  <c r="CJ77" i="1"/>
  <c r="CV77" i="1" s="1"/>
  <c r="BA78" i="1" s="1"/>
  <c r="AC78" i="1"/>
  <c r="EH77" i="1"/>
  <c r="CP77" i="1"/>
  <c r="DB77" i="1" s="1"/>
  <c r="BG78" i="1" s="1"/>
  <c r="EA75" i="1"/>
  <c r="CL77" i="1"/>
  <c r="CX77" i="1" s="1"/>
  <c r="BC78" i="1" s="1"/>
  <c r="AV78" i="1"/>
  <c r="CN77" i="1"/>
  <c r="CZ77" i="1" s="1"/>
  <c r="BE78" i="1" s="1"/>
  <c r="BO77" i="1"/>
  <c r="DK81" i="1"/>
  <c r="X82" i="1"/>
  <c r="AM81" i="1"/>
  <c r="CM77" i="1"/>
  <c r="CY77" i="1" s="1"/>
  <c r="BD78" i="1" s="1"/>
  <c r="DH79" i="1"/>
  <c r="U80" i="1"/>
  <c r="AJ79" i="1"/>
  <c r="CO77" i="1"/>
  <c r="DA77" i="1" s="1"/>
  <c r="BF78" i="1" s="1"/>
  <c r="AP83" i="1"/>
  <c r="AA84" i="1"/>
  <c r="DN83" i="1"/>
  <c r="EM77" i="1" l="1"/>
  <c r="EO77" i="1" s="1"/>
  <c r="EQ77" i="1" s="1"/>
  <c r="ES77" i="1" s="1"/>
  <c r="DY76" i="1"/>
  <c r="AQ84" i="1"/>
  <c r="AB85" i="1"/>
  <c r="DO84" i="1"/>
  <c r="AS78" i="1"/>
  <c r="DQ78" i="1"/>
  <c r="AT78" i="1"/>
  <c r="DV77" i="1"/>
  <c r="Y83" i="1"/>
  <c r="AN82" i="1"/>
  <c r="DL82" i="1"/>
  <c r="DI80" i="1"/>
  <c r="V81" i="1"/>
  <c r="AK80" i="1"/>
  <c r="EB75" i="1"/>
  <c r="AR85" i="1" l="1"/>
  <c r="DP85" i="1"/>
  <c r="DW77" i="1"/>
  <c r="EC75" i="1"/>
  <c r="DM83" i="1"/>
  <c r="Z84" i="1"/>
  <c r="AO83" i="1"/>
  <c r="DJ81" i="1"/>
  <c r="AL81" i="1"/>
  <c r="W82" i="1"/>
  <c r="DZ76" i="1"/>
  <c r="DX77" i="1" l="1"/>
  <c r="DN84" i="1"/>
  <c r="AP84" i="1"/>
  <c r="AA85" i="1"/>
  <c r="AM82" i="1"/>
  <c r="DK82" i="1"/>
  <c r="X83" i="1"/>
  <c r="EA76" i="1"/>
  <c r="ED75" i="1"/>
  <c r="DO85" i="1" l="1"/>
  <c r="AB86" i="1"/>
  <c r="AQ85" i="1"/>
  <c r="EB76" i="1"/>
  <c r="Y84" i="1"/>
  <c r="AN83" i="1"/>
  <c r="DL83" i="1"/>
  <c r="DY77" i="1"/>
  <c r="EE75" i="1"/>
  <c r="EC76" i="1" l="1"/>
  <c r="DZ77" i="1"/>
  <c r="DP86" i="1"/>
  <c r="AR86" i="1"/>
  <c r="EF75" i="1"/>
  <c r="DM84" i="1"/>
  <c r="Z85" i="1"/>
  <c r="AO84" i="1"/>
  <c r="EG75" i="1" l="1"/>
  <c r="EL75" i="1" s="1"/>
  <c r="EN75" i="1" s="1"/>
  <c r="EP75" i="1" s="1"/>
  <c r="ER75" i="1" s="1"/>
  <c r="BP75" i="1"/>
  <c r="R78" i="1" s="1"/>
  <c r="BN75" i="1"/>
  <c r="EA77" i="1"/>
  <c r="AA86" i="1"/>
  <c r="DN85" i="1"/>
  <c r="AP85" i="1"/>
  <c r="ED76" i="1"/>
  <c r="AQ86" i="1" l="1"/>
  <c r="DO86" i="1"/>
  <c r="AB87" i="1"/>
  <c r="EB77" i="1"/>
  <c r="EE76" i="1"/>
  <c r="S79" i="1"/>
  <c r="AH78" i="1"/>
  <c r="DF78" i="1"/>
  <c r="CG78" i="1"/>
  <c r="DU78" i="1" s="1"/>
  <c r="CE78" i="1"/>
  <c r="CF78" i="1"/>
  <c r="CD78" i="1"/>
  <c r="AE79" i="1" l="1"/>
  <c r="DR78" i="1"/>
  <c r="EF76" i="1"/>
  <c r="DT78" i="1"/>
  <c r="AG79" i="1"/>
  <c r="AW79" i="1" s="1"/>
  <c r="DS78" i="1"/>
  <c r="AF79" i="1"/>
  <c r="EC77" i="1"/>
  <c r="DP87" i="1"/>
  <c r="AR87" i="1"/>
  <c r="BL78" i="1"/>
  <c r="BM78" i="1"/>
  <c r="EK78" i="1" s="1"/>
  <c r="BJ78" i="1"/>
  <c r="BK78" i="1"/>
  <c r="T80" i="1"/>
  <c r="DG79" i="1"/>
  <c r="AI79" i="1"/>
  <c r="CK78" i="1" l="1"/>
  <c r="CW78" i="1" s="1"/>
  <c r="BB79" i="1" s="1"/>
  <c r="CN78" i="1"/>
  <c r="CZ78" i="1" s="1"/>
  <c r="BE79" i="1" s="1"/>
  <c r="EG76" i="1"/>
  <c r="EL76" i="1" s="1"/>
  <c r="EN76" i="1" s="1"/>
  <c r="EP76" i="1" s="1"/>
  <c r="ER76" i="1" s="1"/>
  <c r="BP76" i="1"/>
  <c r="R79" i="1" s="1"/>
  <c r="BN76" i="1"/>
  <c r="CO78" i="1"/>
  <c r="DA78" i="1" s="1"/>
  <c r="BF79" i="1" s="1"/>
  <c r="CS78" i="1"/>
  <c r="DE78" i="1" s="1"/>
  <c r="CP78" i="1"/>
  <c r="DB78" i="1" s="1"/>
  <c r="BG79" i="1" s="1"/>
  <c r="ED77" i="1"/>
  <c r="CI78" i="1"/>
  <c r="CU78" i="1" s="1"/>
  <c r="AZ79" i="1" s="1"/>
  <c r="CQ78" i="1"/>
  <c r="DC78" i="1" s="1"/>
  <c r="BH79" i="1" s="1"/>
  <c r="AV79" i="1"/>
  <c r="CJ78" i="1"/>
  <c r="CV78" i="1" s="1"/>
  <c r="BA79" i="1" s="1"/>
  <c r="CR78" i="1"/>
  <c r="DD78" i="1" s="1"/>
  <c r="BI79" i="1" s="1"/>
  <c r="EI78" i="1"/>
  <c r="EH78" i="1"/>
  <c r="AC79" i="1"/>
  <c r="BO78" i="1"/>
  <c r="BQ78" i="1"/>
  <c r="AD79" i="1" s="1"/>
  <c r="CM78" i="1"/>
  <c r="CY78" i="1" s="1"/>
  <c r="BD79" i="1" s="1"/>
  <c r="AU79" i="1"/>
  <c r="DH80" i="1"/>
  <c r="U81" i="1"/>
  <c r="AJ80" i="1"/>
  <c r="EJ78" i="1"/>
  <c r="CL78" i="1"/>
  <c r="CX78" i="1" s="1"/>
  <c r="BC79" i="1" s="1"/>
  <c r="CH78" i="1"/>
  <c r="CT78" i="1" s="1"/>
  <c r="AX78" i="1" s="1"/>
  <c r="AY79" i="1" s="1"/>
  <c r="EE77" i="1" l="1"/>
  <c r="DV78" i="1"/>
  <c r="AT79" i="1"/>
  <c r="AS79" i="1"/>
  <c r="DQ79" i="1"/>
  <c r="DF79" i="1"/>
  <c r="AH79" i="1"/>
  <c r="S80" i="1"/>
  <c r="CF79" i="1"/>
  <c r="CG79" i="1"/>
  <c r="DU79" i="1" s="1"/>
  <c r="CD79" i="1"/>
  <c r="AE80" i="1" s="1"/>
  <c r="CE79" i="1"/>
  <c r="AK81" i="1"/>
  <c r="V82" i="1"/>
  <c r="DI81" i="1"/>
  <c r="EM78" i="1"/>
  <c r="EO78" i="1" s="1"/>
  <c r="EQ78" i="1" s="1"/>
  <c r="ES78" i="1" s="1"/>
  <c r="DJ82" i="1" l="1"/>
  <c r="AL82" i="1"/>
  <c r="W83" i="1"/>
  <c r="DG80" i="1"/>
  <c r="AI80" i="1"/>
  <c r="T81" i="1"/>
  <c r="DT79" i="1"/>
  <c r="AG80" i="1"/>
  <c r="AW80" i="1" s="1"/>
  <c r="BJ79" i="1"/>
  <c r="BK79" i="1"/>
  <c r="BM79" i="1"/>
  <c r="EK79" i="1" s="1"/>
  <c r="BL79" i="1"/>
  <c r="DS79" i="1"/>
  <c r="AF80" i="1"/>
  <c r="DW78" i="1"/>
  <c r="DR79" i="1"/>
  <c r="AU80" i="1"/>
  <c r="EF77" i="1"/>
  <c r="CI79" i="1" l="1"/>
  <c r="CU79" i="1" s="1"/>
  <c r="AZ80" i="1" s="1"/>
  <c r="EI79" i="1"/>
  <c r="CJ79" i="1"/>
  <c r="CV79" i="1" s="1"/>
  <c r="BA80" i="1" s="1"/>
  <c r="CK79" i="1"/>
  <c r="CW79" i="1" s="1"/>
  <c r="BB80" i="1" s="1"/>
  <c r="CL79" i="1"/>
  <c r="CX79" i="1" s="1"/>
  <c r="BC80" i="1" s="1"/>
  <c r="CM79" i="1"/>
  <c r="CY79" i="1" s="1"/>
  <c r="BD80" i="1" s="1"/>
  <c r="CO79" i="1"/>
  <c r="DA79" i="1" s="1"/>
  <c r="BF80" i="1" s="1"/>
  <c r="CP79" i="1"/>
  <c r="DB79" i="1" s="1"/>
  <c r="BG80" i="1" s="1"/>
  <c r="CR79" i="1"/>
  <c r="DD79" i="1" s="1"/>
  <c r="BI80" i="1" s="1"/>
  <c r="CN79" i="1"/>
  <c r="CZ79" i="1" s="1"/>
  <c r="BE80" i="1" s="1"/>
  <c r="U82" i="1"/>
  <c r="DH81" i="1"/>
  <c r="AJ81" i="1"/>
  <c r="DX78" i="1"/>
  <c r="AV80" i="1"/>
  <c r="BO79" i="1"/>
  <c r="CH79" i="1"/>
  <c r="CT79" i="1" s="1"/>
  <c r="AX79" i="1" s="1"/>
  <c r="AY80" i="1" s="1"/>
  <c r="CS79" i="1"/>
  <c r="DE79" i="1" s="1"/>
  <c r="DK83" i="1"/>
  <c r="X84" i="1"/>
  <c r="AM83" i="1"/>
  <c r="EG77" i="1"/>
  <c r="EL77" i="1" s="1"/>
  <c r="EN77" i="1" s="1"/>
  <c r="EP77" i="1" s="1"/>
  <c r="ER77" i="1" s="1"/>
  <c r="BN77" i="1"/>
  <c r="BP77" i="1"/>
  <c r="R80" i="1" s="1"/>
  <c r="CQ79" i="1"/>
  <c r="DC79" i="1" s="1"/>
  <c r="BH80" i="1" s="1"/>
  <c r="EJ79" i="1"/>
  <c r="BQ79" i="1"/>
  <c r="AD80" i="1" s="1"/>
  <c r="EH79" i="1"/>
  <c r="AC80" i="1"/>
  <c r="DV79" i="1" l="1"/>
  <c r="DY78" i="1"/>
  <c r="EM79" i="1"/>
  <c r="EO79" i="1" s="1"/>
  <c r="EQ79" i="1" s="1"/>
  <c r="ES79" i="1" s="1"/>
  <c r="AH80" i="1"/>
  <c r="DF80" i="1"/>
  <c r="S81" i="1"/>
  <c r="CG80" i="1"/>
  <c r="DU80" i="1" s="1"/>
  <c r="CD80" i="1"/>
  <c r="CF80" i="1"/>
  <c r="CE80" i="1"/>
  <c r="AT80" i="1"/>
  <c r="AK82" i="1"/>
  <c r="V83" i="1"/>
  <c r="DI82" i="1"/>
  <c r="AS80" i="1"/>
  <c r="DQ80" i="1"/>
  <c r="Y85" i="1"/>
  <c r="DL84" i="1"/>
  <c r="AN84" i="1"/>
  <c r="DS80" i="1" l="1"/>
  <c r="AF81" i="1"/>
  <c r="DT80" i="1"/>
  <c r="AG81" i="1"/>
  <c r="AW81" i="1" s="1"/>
  <c r="DJ83" i="1"/>
  <c r="AL83" i="1"/>
  <c r="W84" i="1"/>
  <c r="DR80" i="1"/>
  <c r="DZ78" i="1"/>
  <c r="DM85" i="1"/>
  <c r="AO85" i="1"/>
  <c r="Z86" i="1"/>
  <c r="DW79" i="1"/>
  <c r="T82" i="1"/>
  <c r="AI81" i="1"/>
  <c r="DG81" i="1"/>
  <c r="AE81" i="1"/>
  <c r="BM80" i="1"/>
  <c r="EK80" i="1" s="1"/>
  <c r="BK80" i="1"/>
  <c r="BL80" i="1"/>
  <c r="BJ80" i="1"/>
  <c r="CR80" i="1" l="1"/>
  <c r="DD80" i="1" s="1"/>
  <c r="BI81" i="1" s="1"/>
  <c r="CQ80" i="1"/>
  <c r="DC80" i="1" s="1"/>
  <c r="BH81" i="1" s="1"/>
  <c r="CM80" i="1"/>
  <c r="CY80" i="1" s="1"/>
  <c r="BD81" i="1" s="1"/>
  <c r="BQ80" i="1"/>
  <c r="AD81" i="1" s="1"/>
  <c r="CO80" i="1"/>
  <c r="DA80" i="1" s="1"/>
  <c r="BF81" i="1" s="1"/>
  <c r="AJ82" i="1"/>
  <c r="DH82" i="1"/>
  <c r="U83" i="1"/>
  <c r="CN80" i="1"/>
  <c r="CZ80" i="1" s="1"/>
  <c r="BE81" i="1" s="1"/>
  <c r="EA78" i="1"/>
  <c r="CI80" i="1"/>
  <c r="CU80" i="1" s="1"/>
  <c r="AZ81" i="1" s="1"/>
  <c r="EJ80" i="1"/>
  <c r="DX79" i="1"/>
  <c r="CP80" i="1"/>
  <c r="DB80" i="1" s="1"/>
  <c r="BG81" i="1" s="1"/>
  <c r="CS80" i="1"/>
  <c r="DE80" i="1" s="1"/>
  <c r="BO80" i="1"/>
  <c r="AU81" i="1"/>
  <c r="CJ80" i="1"/>
  <c r="CV80" i="1" s="1"/>
  <c r="BA81" i="1" s="1"/>
  <c r="EH80" i="1"/>
  <c r="AC81" i="1"/>
  <c r="DN86" i="1"/>
  <c r="AP86" i="1"/>
  <c r="AA87" i="1"/>
  <c r="CK80" i="1"/>
  <c r="CW80" i="1" s="1"/>
  <c r="BB81" i="1" s="1"/>
  <c r="AV81" i="1"/>
  <c r="CH80" i="1"/>
  <c r="CT80" i="1" s="1"/>
  <c r="AX80" i="1" s="1"/>
  <c r="AY81" i="1" s="1"/>
  <c r="CL80" i="1"/>
  <c r="CX80" i="1" s="1"/>
  <c r="BC81" i="1" s="1"/>
  <c r="DK84" i="1"/>
  <c r="X85" i="1"/>
  <c r="AM84" i="1"/>
  <c r="EI80" i="1"/>
  <c r="EM80" i="1" l="1"/>
  <c r="EO80" i="1" s="1"/>
  <c r="EQ80" i="1" s="1"/>
  <c r="ES80" i="1" s="1"/>
  <c r="DY79" i="1"/>
  <c r="AK83" i="1"/>
  <c r="DI83" i="1"/>
  <c r="V84" i="1"/>
  <c r="AQ87" i="1"/>
  <c r="DO87" i="1"/>
  <c r="AB88" i="1"/>
  <c r="Y86" i="1"/>
  <c r="DL85" i="1"/>
  <c r="AN85" i="1"/>
  <c r="EB78" i="1"/>
  <c r="DV80" i="1"/>
  <c r="DQ81" i="1"/>
  <c r="AS81" i="1"/>
  <c r="AT81" i="1"/>
  <c r="DW80" i="1" l="1"/>
  <c r="W85" i="1"/>
  <c r="AL84" i="1"/>
  <c r="DJ84" i="1"/>
  <c r="AO86" i="1"/>
  <c r="DM86" i="1"/>
  <c r="Z87" i="1"/>
  <c r="EC78" i="1"/>
  <c r="DP88" i="1"/>
  <c r="AR88" i="1"/>
  <c r="DZ79" i="1"/>
  <c r="ED78" i="1" l="1"/>
  <c r="EA79" i="1"/>
  <c r="X86" i="1"/>
  <c r="DK85" i="1"/>
  <c r="AM85" i="1"/>
  <c r="DN87" i="1"/>
  <c r="AP87" i="1"/>
  <c r="AA88" i="1"/>
  <c r="DX80" i="1"/>
  <c r="AB89" i="1" l="1"/>
  <c r="AQ88" i="1"/>
  <c r="DO88" i="1"/>
  <c r="EB79" i="1"/>
  <c r="DL86" i="1"/>
  <c r="Y87" i="1"/>
  <c r="AN86" i="1"/>
  <c r="DY80" i="1"/>
  <c r="EE78" i="1"/>
  <c r="EC79" i="1" l="1"/>
  <c r="DZ80" i="1"/>
  <c r="EF78" i="1"/>
  <c r="AO87" i="1"/>
  <c r="Z88" i="1"/>
  <c r="DM87" i="1"/>
  <c r="AR89" i="1"/>
  <c r="DP89" i="1"/>
  <c r="EG78" i="1" l="1"/>
  <c r="EL78" i="1" s="1"/>
  <c r="EN78" i="1" s="1"/>
  <c r="EP78" i="1" s="1"/>
  <c r="ER78" i="1" s="1"/>
  <c r="BP78" i="1"/>
  <c r="R81" i="1" s="1"/>
  <c r="BN78" i="1"/>
  <c r="EA80" i="1"/>
  <c r="AA89" i="1"/>
  <c r="AP88" i="1"/>
  <c r="DN88" i="1"/>
  <c r="ED79" i="1"/>
  <c r="AB90" i="1" l="1"/>
  <c r="DO89" i="1"/>
  <c r="AQ89" i="1"/>
  <c r="EB80" i="1"/>
  <c r="S82" i="1"/>
  <c r="DF81" i="1"/>
  <c r="AH81" i="1"/>
  <c r="CF81" i="1"/>
  <c r="CG81" i="1"/>
  <c r="DU81" i="1" s="1"/>
  <c r="CE81" i="1"/>
  <c r="CD81" i="1"/>
  <c r="EE79" i="1"/>
  <c r="DS81" i="1" l="1"/>
  <c r="AF82" i="1"/>
  <c r="EC80" i="1"/>
  <c r="DT81" i="1"/>
  <c r="AG82" i="1"/>
  <c r="AW82" i="1" s="1"/>
  <c r="BJ81" i="1"/>
  <c r="BK81" i="1"/>
  <c r="BM81" i="1"/>
  <c r="EK81" i="1" s="1"/>
  <c r="BL81" i="1"/>
  <c r="AE82" i="1"/>
  <c r="DR81" i="1"/>
  <c r="EF79" i="1"/>
  <c r="AI82" i="1"/>
  <c r="DG82" i="1"/>
  <c r="T83" i="1"/>
  <c r="DP90" i="1"/>
  <c r="AR90" i="1"/>
  <c r="CN81" i="1" l="1"/>
  <c r="CZ81" i="1" s="1"/>
  <c r="BE82" i="1" s="1"/>
  <c r="CJ81" i="1"/>
  <c r="CV81" i="1" s="1"/>
  <c r="BA82" i="1" s="1"/>
  <c r="EJ81" i="1"/>
  <c r="CO81" i="1"/>
  <c r="DA81" i="1" s="1"/>
  <c r="BF82" i="1" s="1"/>
  <c r="CP81" i="1"/>
  <c r="DB81" i="1" s="1"/>
  <c r="BG82" i="1" s="1"/>
  <c r="CS81" i="1"/>
  <c r="DE81" i="1" s="1"/>
  <c r="CR81" i="1"/>
  <c r="DD81" i="1" s="1"/>
  <c r="BI82" i="1" s="1"/>
  <c r="CI81" i="1"/>
  <c r="CU81" i="1" s="1"/>
  <c r="AZ82" i="1" s="1"/>
  <c r="CL81" i="1"/>
  <c r="CX81" i="1" s="1"/>
  <c r="BC82" i="1" s="1"/>
  <c r="CQ81" i="1"/>
  <c r="DC81" i="1" s="1"/>
  <c r="BH82" i="1" s="1"/>
  <c r="CK81" i="1"/>
  <c r="CW81" i="1" s="1"/>
  <c r="BB82" i="1" s="1"/>
  <c r="CM81" i="1"/>
  <c r="CY81" i="1" s="1"/>
  <c r="BD82" i="1" s="1"/>
  <c r="AJ83" i="1"/>
  <c r="DH83" i="1"/>
  <c r="U84" i="1"/>
  <c r="EH81" i="1"/>
  <c r="AC82" i="1"/>
  <c r="AU82" i="1"/>
  <c r="ED80" i="1"/>
  <c r="EG79" i="1"/>
  <c r="EL79" i="1" s="1"/>
  <c r="EN79" i="1" s="1"/>
  <c r="EP79" i="1" s="1"/>
  <c r="ER79" i="1" s="1"/>
  <c r="BP79" i="1"/>
  <c r="R82" i="1" s="1"/>
  <c r="BN79" i="1"/>
  <c r="AV82" i="1"/>
  <c r="EI81" i="1"/>
  <c r="BO81" i="1"/>
  <c r="BQ81" i="1"/>
  <c r="AD82" i="1" s="1"/>
  <c r="CH81" i="1"/>
  <c r="CT81" i="1" s="1"/>
  <c r="AX81" i="1" s="1"/>
  <c r="AY82" i="1" s="1"/>
  <c r="EM81" i="1" l="1"/>
  <c r="EO81" i="1" s="1"/>
  <c r="EQ81" i="1" s="1"/>
  <c r="ES81" i="1" s="1"/>
  <c r="AH82" i="1"/>
  <c r="DF82" i="1"/>
  <c r="S83" i="1"/>
  <c r="CG82" i="1"/>
  <c r="DU82" i="1" s="1"/>
  <c r="CF82" i="1"/>
  <c r="CE82" i="1"/>
  <c r="CD82" i="1"/>
  <c r="DQ82" i="1"/>
  <c r="AS82" i="1"/>
  <c r="DI84" i="1"/>
  <c r="AK84" i="1"/>
  <c r="V85" i="1"/>
  <c r="AT82" i="1"/>
  <c r="DV81" i="1"/>
  <c r="EE80" i="1"/>
  <c r="DR82" i="1" l="1"/>
  <c r="W86" i="1"/>
  <c r="AL85" i="1"/>
  <c r="DJ85" i="1"/>
  <c r="DS82" i="1"/>
  <c r="AF83" i="1"/>
  <c r="DT82" i="1"/>
  <c r="AG83" i="1"/>
  <c r="AW83" i="1" s="1"/>
  <c r="EF80" i="1"/>
  <c r="DG83" i="1"/>
  <c r="AI83" i="1"/>
  <c r="T84" i="1"/>
  <c r="DW81" i="1"/>
  <c r="AE83" i="1"/>
  <c r="BK82" i="1"/>
  <c r="BM82" i="1"/>
  <c r="EK82" i="1" s="1"/>
  <c r="BL82" i="1"/>
  <c r="BJ82" i="1"/>
  <c r="CN82" i="1" l="1"/>
  <c r="CZ82" i="1" s="1"/>
  <c r="BE83" i="1" s="1"/>
  <c r="CS82" i="1"/>
  <c r="DE82" i="1" s="1"/>
  <c r="CL82" i="1"/>
  <c r="CX82" i="1" s="1"/>
  <c r="BC83" i="1" s="1"/>
  <c r="AU83" i="1"/>
  <c r="CM82" i="1"/>
  <c r="CY82" i="1" s="1"/>
  <c r="BD83" i="1" s="1"/>
  <c r="DX81" i="1"/>
  <c r="BO82" i="1"/>
  <c r="CH82" i="1"/>
  <c r="CT82" i="1" s="1"/>
  <c r="AX82" i="1" s="1"/>
  <c r="AY83" i="1" s="1"/>
  <c r="EG80" i="1"/>
  <c r="EL80" i="1" s="1"/>
  <c r="EN80" i="1" s="1"/>
  <c r="EP80" i="1" s="1"/>
  <c r="ER80" i="1" s="1"/>
  <c r="BP80" i="1"/>
  <c r="R83" i="1" s="1"/>
  <c r="BN80" i="1"/>
  <c r="X87" i="1"/>
  <c r="AM86" i="1"/>
  <c r="DK86" i="1"/>
  <c r="CO82" i="1"/>
  <c r="DA82" i="1" s="1"/>
  <c r="BF83" i="1" s="1"/>
  <c r="BQ82" i="1"/>
  <c r="AD83" i="1" s="1"/>
  <c r="CP82" i="1"/>
  <c r="DB82" i="1" s="1"/>
  <c r="BG83" i="1" s="1"/>
  <c r="AJ84" i="1"/>
  <c r="DH84" i="1"/>
  <c r="U85" i="1"/>
  <c r="EJ82" i="1"/>
  <c r="CI82" i="1"/>
  <c r="CU82" i="1" s="1"/>
  <c r="AZ83" i="1" s="1"/>
  <c r="CQ82" i="1"/>
  <c r="DC82" i="1" s="1"/>
  <c r="BH83" i="1" s="1"/>
  <c r="AV83" i="1"/>
  <c r="CJ82" i="1"/>
  <c r="CV82" i="1" s="1"/>
  <c r="BA83" i="1" s="1"/>
  <c r="CR82" i="1"/>
  <c r="DD82" i="1" s="1"/>
  <c r="BI83" i="1" s="1"/>
  <c r="EI82" i="1"/>
  <c r="CK82" i="1"/>
  <c r="CW82" i="1" s="1"/>
  <c r="BB83" i="1" s="1"/>
  <c r="EH82" i="1"/>
  <c r="AC83" i="1"/>
  <c r="EM82" i="1" l="1"/>
  <c r="EO82" i="1" s="1"/>
  <c r="EQ82" i="1" s="1"/>
  <c r="ES82" i="1" s="1"/>
  <c r="DI85" i="1"/>
  <c r="AK85" i="1"/>
  <c r="V86" i="1"/>
  <c r="AN87" i="1"/>
  <c r="Y88" i="1"/>
  <c r="DL87" i="1"/>
  <c r="DY81" i="1"/>
  <c r="DQ83" i="1"/>
  <c r="AS83" i="1"/>
  <c r="CD83" i="1"/>
  <c r="CE83" i="1"/>
  <c r="S84" i="1"/>
  <c r="DF83" i="1"/>
  <c r="AH83" i="1"/>
  <c r="CF83" i="1"/>
  <c r="CG83" i="1"/>
  <c r="DU83" i="1" s="1"/>
  <c r="AT83" i="1"/>
  <c r="DV82" i="1"/>
  <c r="DR83" i="1" l="1"/>
  <c r="DM88" i="1"/>
  <c r="AO88" i="1"/>
  <c r="Z89" i="1"/>
  <c r="DT83" i="1"/>
  <c r="AG84" i="1"/>
  <c r="AW84" i="1" s="1"/>
  <c r="BM83" i="1"/>
  <c r="EK83" i="1" s="1"/>
  <c r="BL83" i="1"/>
  <c r="BK83" i="1"/>
  <c r="BJ83" i="1"/>
  <c r="DW82" i="1"/>
  <c r="DZ81" i="1"/>
  <c r="AL86" i="1"/>
  <c r="W87" i="1"/>
  <c r="DJ86" i="1"/>
  <c r="DG84" i="1"/>
  <c r="AI84" i="1"/>
  <c r="T85" i="1"/>
  <c r="AE84" i="1"/>
  <c r="DS83" i="1"/>
  <c r="AF84" i="1"/>
  <c r="BQ83" i="1" l="1"/>
  <c r="AD84" i="1" s="1"/>
  <c r="AT84" i="1" s="1"/>
  <c r="CH83" i="1"/>
  <c r="CT83" i="1" s="1"/>
  <c r="CN83" i="1"/>
  <c r="CZ83" i="1" s="1"/>
  <c r="BE84" i="1" s="1"/>
  <c r="AA90" i="1"/>
  <c r="DN89" i="1"/>
  <c r="AP89" i="1"/>
  <c r="CO83" i="1"/>
  <c r="DA83" i="1" s="1"/>
  <c r="BF84" i="1" s="1"/>
  <c r="CP83" i="1"/>
  <c r="DB83" i="1" s="1"/>
  <c r="BG84" i="1" s="1"/>
  <c r="EA81" i="1"/>
  <c r="CS83" i="1"/>
  <c r="DE83" i="1" s="1"/>
  <c r="CQ83" i="1"/>
  <c r="DC83" i="1" s="1"/>
  <c r="BH84" i="1" s="1"/>
  <c r="AV84" i="1"/>
  <c r="CI83" i="1"/>
  <c r="CU83" i="1" s="1"/>
  <c r="AZ84" i="1" s="1"/>
  <c r="CR83" i="1"/>
  <c r="DD83" i="1" s="1"/>
  <c r="BI84" i="1" s="1"/>
  <c r="EI83" i="1"/>
  <c r="CK83" i="1"/>
  <c r="CW83" i="1" s="1"/>
  <c r="BB84" i="1" s="1"/>
  <c r="EH83" i="1"/>
  <c r="AC84" i="1"/>
  <c r="AU84" i="1"/>
  <c r="DK87" i="1"/>
  <c r="AM87" i="1"/>
  <c r="X88" i="1"/>
  <c r="DX82" i="1"/>
  <c r="CL83" i="1"/>
  <c r="CX83" i="1" s="1"/>
  <c r="BC84" i="1" s="1"/>
  <c r="AJ85" i="1"/>
  <c r="U86" i="1"/>
  <c r="DH85" i="1"/>
  <c r="CJ83" i="1"/>
  <c r="CV83" i="1" s="1"/>
  <c r="BA84" i="1" s="1"/>
  <c r="BO83" i="1"/>
  <c r="EJ83" i="1"/>
  <c r="CM83" i="1"/>
  <c r="CY83" i="1" s="1"/>
  <c r="BD84" i="1" s="1"/>
  <c r="AX83" i="1" l="1"/>
  <c r="AY84" i="1" s="1"/>
  <c r="DO90" i="1"/>
  <c r="AQ90" i="1"/>
  <c r="AB91" i="1"/>
  <c r="AK86" i="1"/>
  <c r="DI86" i="1"/>
  <c r="V87" i="1"/>
  <c r="EB81" i="1"/>
  <c r="AS84" i="1"/>
  <c r="DQ84" i="1"/>
  <c r="DY82" i="1"/>
  <c r="EM83" i="1"/>
  <c r="EO83" i="1" s="1"/>
  <c r="EQ83" i="1" s="1"/>
  <c r="ES83" i="1" s="1"/>
  <c r="DL88" i="1"/>
  <c r="AN88" i="1"/>
  <c r="Y89" i="1"/>
  <c r="DW83" i="1" l="1"/>
  <c r="DV83" i="1"/>
  <c r="AR91" i="1"/>
  <c r="DP91" i="1"/>
  <c r="EC81" i="1"/>
  <c r="DZ82" i="1"/>
  <c r="DJ87" i="1"/>
  <c r="AL87" i="1"/>
  <c r="W88" i="1"/>
  <c r="Z90" i="1"/>
  <c r="AO89" i="1"/>
  <c r="DM89" i="1"/>
  <c r="DX83" i="1"/>
  <c r="DY83" i="1" l="1"/>
  <c r="DK88" i="1"/>
  <c r="AM88" i="1"/>
  <c r="X89" i="1"/>
  <c r="ED81" i="1"/>
  <c r="EA82" i="1"/>
  <c r="DN90" i="1"/>
  <c r="AA91" i="1"/>
  <c r="AP90" i="1"/>
  <c r="AN89" i="1" l="1"/>
  <c r="Y90" i="1"/>
  <c r="DL89" i="1"/>
  <c r="EB82" i="1"/>
  <c r="AQ91" i="1"/>
  <c r="AB92" i="1"/>
  <c r="DO91" i="1"/>
  <c r="EE81" i="1"/>
  <c r="DZ83" i="1"/>
  <c r="EA83" i="1" l="1"/>
  <c r="EF81" i="1"/>
  <c r="EC82" i="1"/>
  <c r="AR92" i="1"/>
  <c r="DP92" i="1"/>
  <c r="AO90" i="1"/>
  <c r="Z91" i="1"/>
  <c r="DM90" i="1"/>
  <c r="ED82" i="1" l="1"/>
  <c r="EG81" i="1"/>
  <c r="EL81" i="1" s="1"/>
  <c r="EN81" i="1" s="1"/>
  <c r="EP81" i="1" s="1"/>
  <c r="ER81" i="1" s="1"/>
  <c r="BP81" i="1"/>
  <c r="R84" i="1" s="1"/>
  <c r="BN81" i="1"/>
  <c r="AP91" i="1"/>
  <c r="AA92" i="1"/>
  <c r="DN91" i="1"/>
  <c r="EB83" i="1"/>
  <c r="DF84" i="1" l="1"/>
  <c r="AH84" i="1"/>
  <c r="S85" i="1"/>
  <c r="CG84" i="1"/>
  <c r="DU84" i="1" s="1"/>
  <c r="CF84" i="1"/>
  <c r="CD84" i="1"/>
  <c r="CE84" i="1"/>
  <c r="AQ92" i="1"/>
  <c r="DO92" i="1"/>
  <c r="AB93" i="1"/>
  <c r="EC83" i="1"/>
  <c r="EE82" i="1"/>
  <c r="DS84" i="1" l="1"/>
  <c r="AF85" i="1"/>
  <c r="AE85" i="1"/>
  <c r="DR84" i="1"/>
  <c r="ED83" i="1"/>
  <c r="DT84" i="1"/>
  <c r="AG85" i="1"/>
  <c r="AW85" i="1" s="1"/>
  <c r="AR93" i="1"/>
  <c r="DP93" i="1"/>
  <c r="AI85" i="1"/>
  <c r="DG85" i="1"/>
  <c r="T86" i="1"/>
  <c r="EF82" i="1"/>
  <c r="BK84" i="1"/>
  <c r="BL84" i="1"/>
  <c r="BJ84" i="1"/>
  <c r="BM84" i="1"/>
  <c r="EK84" i="1" s="1"/>
  <c r="CM84" i="1" l="1"/>
  <c r="CY84" i="1" s="1"/>
  <c r="BD85" i="1" s="1"/>
  <c r="CO84" i="1"/>
  <c r="DA84" i="1" s="1"/>
  <c r="BF85" i="1" s="1"/>
  <c r="CS84" i="1"/>
  <c r="DE84" i="1" s="1"/>
  <c r="CQ84" i="1"/>
  <c r="DC84" i="1" s="1"/>
  <c r="BH85" i="1" s="1"/>
  <c r="EE83" i="1"/>
  <c r="CI84" i="1"/>
  <c r="CU84" i="1" s="1"/>
  <c r="AZ85" i="1" s="1"/>
  <c r="CR84" i="1"/>
  <c r="DD84" i="1" s="1"/>
  <c r="BI85" i="1" s="1"/>
  <c r="CJ84" i="1"/>
  <c r="CV84" i="1" s="1"/>
  <c r="BA85" i="1" s="1"/>
  <c r="EH84" i="1"/>
  <c r="AC85" i="1"/>
  <c r="CK84" i="1"/>
  <c r="CW84" i="1" s="1"/>
  <c r="BB85" i="1" s="1"/>
  <c r="AU85" i="1"/>
  <c r="EG82" i="1"/>
  <c r="EL82" i="1" s="1"/>
  <c r="EN82" i="1" s="1"/>
  <c r="EP82" i="1" s="1"/>
  <c r="ER82" i="1" s="1"/>
  <c r="BN82" i="1"/>
  <c r="BP82" i="1"/>
  <c r="R85" i="1" s="1"/>
  <c r="CL84" i="1"/>
  <c r="CX84" i="1" s="1"/>
  <c r="BC85" i="1" s="1"/>
  <c r="AV85" i="1"/>
  <c r="U87" i="1"/>
  <c r="DH86" i="1"/>
  <c r="AJ86" i="1"/>
  <c r="EJ84" i="1"/>
  <c r="EI84" i="1"/>
  <c r="CP84" i="1"/>
  <c r="DB84" i="1" s="1"/>
  <c r="BG85" i="1" s="1"/>
  <c r="BO84" i="1"/>
  <c r="BQ84" i="1"/>
  <c r="AD85" i="1" s="1"/>
  <c r="CN84" i="1"/>
  <c r="CZ84" i="1" s="1"/>
  <c r="BE85" i="1" s="1"/>
  <c r="CH84" i="1"/>
  <c r="CT84" i="1" s="1"/>
  <c r="AX84" i="1" s="1"/>
  <c r="AY85" i="1" s="1"/>
  <c r="EM84" i="1" l="1"/>
  <c r="EO84" i="1" s="1"/>
  <c r="EQ84" i="1" s="1"/>
  <c r="ES84" i="1" s="1"/>
  <c r="DV84" i="1"/>
  <c r="S86" i="1"/>
  <c r="DF85" i="1"/>
  <c r="CG85" i="1"/>
  <c r="DU85" i="1" s="1"/>
  <c r="CD85" i="1"/>
  <c r="AE86" i="1" s="1"/>
  <c r="CF85" i="1"/>
  <c r="CE85" i="1"/>
  <c r="AH85" i="1"/>
  <c r="AT85" i="1"/>
  <c r="DI87" i="1"/>
  <c r="AK87" i="1"/>
  <c r="V88" i="1"/>
  <c r="EF83" i="1"/>
  <c r="AS85" i="1"/>
  <c r="DQ85" i="1"/>
  <c r="AU86" i="1" l="1"/>
  <c r="AI86" i="1"/>
  <c r="T87" i="1"/>
  <c r="DG86" i="1"/>
  <c r="EG83" i="1"/>
  <c r="EL83" i="1" s="1"/>
  <c r="EN83" i="1" s="1"/>
  <c r="EP83" i="1" s="1"/>
  <c r="ER83" i="1" s="1"/>
  <c r="BN83" i="1"/>
  <c r="BP83" i="1"/>
  <c r="R86" i="1" s="1"/>
  <c r="BL85" i="1"/>
  <c r="BJ85" i="1"/>
  <c r="BK85" i="1"/>
  <c r="BM85" i="1"/>
  <c r="EK85" i="1" s="1"/>
  <c r="AL88" i="1"/>
  <c r="W89" i="1"/>
  <c r="DJ88" i="1"/>
  <c r="DS85" i="1"/>
  <c r="AF86" i="1"/>
  <c r="DT85" i="1"/>
  <c r="AG86" i="1"/>
  <c r="AW86" i="1" s="1"/>
  <c r="DR85" i="1"/>
  <c r="DW84" i="1"/>
  <c r="CM85" i="1" l="1"/>
  <c r="CY85" i="1" s="1"/>
  <c r="BD86" i="1" s="1"/>
  <c r="EI85" i="1"/>
  <c r="CN85" i="1"/>
  <c r="CZ85" i="1" s="1"/>
  <c r="BE86" i="1" s="1"/>
  <c r="CO85" i="1"/>
  <c r="DA85" i="1" s="1"/>
  <c r="BF86" i="1" s="1"/>
  <c r="CP85" i="1"/>
  <c r="DB85" i="1" s="1"/>
  <c r="BG86" i="1" s="1"/>
  <c r="CR85" i="1"/>
  <c r="DD85" i="1" s="1"/>
  <c r="BI86" i="1" s="1"/>
  <c r="CQ85" i="1"/>
  <c r="DC85" i="1" s="1"/>
  <c r="BH86" i="1" s="1"/>
  <c r="CI85" i="1"/>
  <c r="CU85" i="1" s="1"/>
  <c r="AZ86" i="1" s="1"/>
  <c r="CK85" i="1"/>
  <c r="CW85" i="1" s="1"/>
  <c r="BB86" i="1" s="1"/>
  <c r="EJ85" i="1"/>
  <c r="AV86" i="1"/>
  <c r="BO85" i="1"/>
  <c r="CS85" i="1"/>
  <c r="DE85" i="1" s="1"/>
  <c r="DH87" i="1"/>
  <c r="AJ87" i="1"/>
  <c r="U88" i="1"/>
  <c r="CJ85" i="1"/>
  <c r="CV85" i="1" s="1"/>
  <c r="BA86" i="1" s="1"/>
  <c r="AH86" i="1"/>
  <c r="DF86" i="1"/>
  <c r="S87" i="1"/>
  <c r="BQ85" i="1"/>
  <c r="AD86" i="1" s="1"/>
  <c r="EH85" i="1"/>
  <c r="AC86" i="1"/>
  <c r="CG86" i="1" s="1"/>
  <c r="DU86" i="1" s="1"/>
  <c r="DX84" i="1"/>
  <c r="AM89" i="1"/>
  <c r="X90" i="1"/>
  <c r="DK89" i="1"/>
  <c r="CL85" i="1"/>
  <c r="CX85" i="1" s="1"/>
  <c r="BC86" i="1" s="1"/>
  <c r="CH85" i="1"/>
  <c r="CT85" i="1" s="1"/>
  <c r="AX85" i="1" s="1"/>
  <c r="AY86" i="1" s="1"/>
  <c r="EM85" i="1" l="1"/>
  <c r="EO85" i="1" s="1"/>
  <c r="EQ85" i="1" s="1"/>
  <c r="ES85" i="1" s="1"/>
  <c r="DV85" i="1"/>
  <c r="DY84" i="1"/>
  <c r="CF86" i="1"/>
  <c r="AI87" i="1"/>
  <c r="T88" i="1"/>
  <c r="DG87" i="1"/>
  <c r="CE86" i="1"/>
  <c r="V89" i="1"/>
  <c r="DI88" i="1"/>
  <c r="AK88" i="1"/>
  <c r="DL90" i="1"/>
  <c r="Y91" i="1"/>
  <c r="AN90" i="1"/>
  <c r="AS86" i="1"/>
  <c r="DQ86" i="1"/>
  <c r="AT86" i="1"/>
  <c r="BL86" i="1" s="1"/>
  <c r="CD86" i="1"/>
  <c r="AE87" i="1" s="1"/>
  <c r="BJ86" i="1" l="1"/>
  <c r="AU87" i="1"/>
  <c r="DZ84" i="1"/>
  <c r="DR86" i="1"/>
  <c r="W90" i="1"/>
  <c r="AL89" i="1"/>
  <c r="DJ89" i="1"/>
  <c r="DH88" i="1"/>
  <c r="U89" i="1"/>
  <c r="AJ88" i="1"/>
  <c r="DS86" i="1"/>
  <c r="AF87" i="1"/>
  <c r="BM86" i="1"/>
  <c r="DW85" i="1"/>
  <c r="DM91" i="1"/>
  <c r="AO91" i="1"/>
  <c r="Z92" i="1"/>
  <c r="BK86" i="1"/>
  <c r="DT86" i="1"/>
  <c r="EJ86" i="1" s="1"/>
  <c r="AG87" i="1"/>
  <c r="AW87" i="1" s="1"/>
  <c r="CH86" i="1" l="1"/>
  <c r="CT86" i="1" s="1"/>
  <c r="AX86" i="1" s="1"/>
  <c r="AY87" i="1" s="1"/>
  <c r="CI86" i="1"/>
  <c r="CU86" i="1" s="1"/>
  <c r="AZ87" i="1" s="1"/>
  <c r="CQ86" i="1"/>
  <c r="DC86" i="1" s="1"/>
  <c r="BH87" i="1" s="1"/>
  <c r="EI86" i="1"/>
  <c r="BQ86" i="1"/>
  <c r="AD87" i="1" s="1"/>
  <c r="AT87" i="1" s="1"/>
  <c r="CR86" i="1"/>
  <c r="DD86" i="1" s="1"/>
  <c r="BI87" i="1" s="1"/>
  <c r="CJ86" i="1"/>
  <c r="CV86" i="1" s="1"/>
  <c r="BA87" i="1" s="1"/>
  <c r="EH86" i="1"/>
  <c r="AC87" i="1"/>
  <c r="DI89" i="1"/>
  <c r="V90" i="1"/>
  <c r="AK89" i="1"/>
  <c r="CK86" i="1"/>
  <c r="CW86" i="1" s="1"/>
  <c r="BB87" i="1" s="1"/>
  <c r="EA84" i="1"/>
  <c r="DX85" i="1"/>
  <c r="CL86" i="1"/>
  <c r="CX86" i="1" s="1"/>
  <c r="BC87" i="1" s="1"/>
  <c r="CP86" i="1"/>
  <c r="DB86" i="1" s="1"/>
  <c r="BG87" i="1" s="1"/>
  <c r="CS86" i="1"/>
  <c r="DE86" i="1" s="1"/>
  <c r="EK86" i="1"/>
  <c r="CM86" i="1"/>
  <c r="CY86" i="1" s="1"/>
  <c r="BD87" i="1" s="1"/>
  <c r="BO86" i="1"/>
  <c r="DN92" i="1"/>
  <c r="AA93" i="1"/>
  <c r="AP92" i="1"/>
  <c r="CN86" i="1"/>
  <c r="CZ86" i="1" s="1"/>
  <c r="BE87" i="1" s="1"/>
  <c r="DK90" i="1"/>
  <c r="AM90" i="1"/>
  <c r="X91" i="1"/>
  <c r="AV87" i="1"/>
  <c r="CO86" i="1"/>
  <c r="DA86" i="1" s="1"/>
  <c r="BF87" i="1" s="1"/>
  <c r="DV86" i="1" l="1"/>
  <c r="EM86" i="1"/>
  <c r="EO86" i="1" s="1"/>
  <c r="EQ86" i="1" s="1"/>
  <c r="ES86" i="1" s="1"/>
  <c r="EB84" i="1"/>
  <c r="AN91" i="1"/>
  <c r="DL91" i="1"/>
  <c r="Y92" i="1"/>
  <c r="DW86" i="1"/>
  <c r="W91" i="1"/>
  <c r="DJ90" i="1"/>
  <c r="AL90" i="1"/>
  <c r="DY85" i="1"/>
  <c r="DO93" i="1"/>
  <c r="AB94" i="1"/>
  <c r="AQ93" i="1"/>
  <c r="AS87" i="1"/>
  <c r="DQ87" i="1"/>
  <c r="Z93" i="1" l="1"/>
  <c r="AO92" i="1"/>
  <c r="DM92" i="1"/>
  <c r="AR94" i="1"/>
  <c r="DP94" i="1"/>
  <c r="DK91" i="1"/>
  <c r="AM91" i="1"/>
  <c r="X92" i="1"/>
  <c r="DX86" i="1"/>
  <c r="DZ85" i="1"/>
  <c r="EC84" i="1"/>
  <c r="DY86" i="1" l="1"/>
  <c r="ED84" i="1"/>
  <c r="AN92" i="1"/>
  <c r="DL92" i="1"/>
  <c r="Y93" i="1"/>
  <c r="AA94" i="1"/>
  <c r="AP93" i="1"/>
  <c r="DN93" i="1"/>
  <c r="EA85" i="1"/>
  <c r="DO94" i="1" l="1"/>
  <c r="AQ94" i="1"/>
  <c r="AB95" i="1"/>
  <c r="EE84" i="1"/>
  <c r="EB85" i="1"/>
  <c r="AO93" i="1"/>
  <c r="DM93" i="1"/>
  <c r="Z94" i="1"/>
  <c r="DZ86" i="1"/>
  <c r="EC85" i="1" l="1"/>
  <c r="DN94" i="1"/>
  <c r="AP94" i="1"/>
  <c r="AA95" i="1"/>
  <c r="EF84" i="1"/>
  <c r="DP95" i="1"/>
  <c r="AR95" i="1"/>
  <c r="EA86" i="1"/>
  <c r="EG84" i="1" l="1"/>
  <c r="EL84" i="1" s="1"/>
  <c r="EN84" i="1" s="1"/>
  <c r="EP84" i="1" s="1"/>
  <c r="ER84" i="1" s="1"/>
  <c r="B37" i="1" a="1"/>
  <c r="BN84" i="1"/>
  <c r="BP84" i="1"/>
  <c r="R87" i="1" s="1"/>
  <c r="EB86" i="1"/>
  <c r="DO95" i="1"/>
  <c r="AQ95" i="1"/>
  <c r="AB96" i="1"/>
  <c r="ED85" i="1"/>
  <c r="B37" i="1" l="1"/>
  <c r="B107" i="1" s="1"/>
  <c r="B108" i="1" s="1"/>
  <c r="E107" i="1"/>
  <c r="E108" i="1" s="1"/>
  <c r="M107" i="1"/>
  <c r="M108" i="1" s="1"/>
  <c r="G107" i="1"/>
  <c r="G108" i="1" s="1"/>
  <c r="F107" i="1"/>
  <c r="F108" i="1" s="1"/>
  <c r="H107" i="1"/>
  <c r="H108" i="1" s="1"/>
  <c r="C107" i="1"/>
  <c r="C108" i="1" s="1"/>
  <c r="I107" i="1"/>
  <c r="I108" i="1" s="1"/>
  <c r="K107" i="1"/>
  <c r="K108" i="1" s="1"/>
  <c r="J107" i="1"/>
  <c r="J108" i="1" s="1"/>
  <c r="D107" i="1"/>
  <c r="D108" i="1" s="1"/>
  <c r="L107" i="1"/>
  <c r="L108" i="1" s="1"/>
  <c r="EE85" i="1"/>
  <c r="EC86" i="1"/>
  <c r="AH87" i="1"/>
  <c r="DF87" i="1"/>
  <c r="CF87" i="1"/>
  <c r="S88" i="1"/>
  <c r="CG87" i="1"/>
  <c r="DU87" i="1" s="1"/>
  <c r="CE87" i="1"/>
  <c r="CD87" i="1"/>
  <c r="AR96" i="1"/>
  <c r="DP96" i="1"/>
  <c r="DR87" i="1" l="1"/>
  <c r="AC88" i="1" s="1"/>
  <c r="AE88" i="1"/>
  <c r="BM87" i="1"/>
  <c r="EK87" i="1" s="1"/>
  <c r="BL87" i="1"/>
  <c r="BJ87" i="1"/>
  <c r="BK87" i="1"/>
  <c r="ED86" i="1"/>
  <c r="DT87" i="1"/>
  <c r="AG88" i="1"/>
  <c r="AW88" i="1" s="1"/>
  <c r="DS87" i="1"/>
  <c r="AF88" i="1"/>
  <c r="DG88" i="1"/>
  <c r="T89" i="1"/>
  <c r="AI88" i="1"/>
  <c r="EF85" i="1"/>
  <c r="EI87" i="1" l="1"/>
  <c r="CR87" i="1"/>
  <c r="DD87" i="1" s="1"/>
  <c r="BI88" i="1" s="1"/>
  <c r="EJ87" i="1"/>
  <c r="CM87" i="1"/>
  <c r="CY87" i="1" s="1"/>
  <c r="BD88" i="1" s="1"/>
  <c r="CN87" i="1"/>
  <c r="CZ87" i="1" s="1"/>
  <c r="BE88" i="1" s="1"/>
  <c r="CS87" i="1"/>
  <c r="DE87" i="1" s="1"/>
  <c r="CO87" i="1"/>
  <c r="DA87" i="1" s="1"/>
  <c r="BF88" i="1" s="1"/>
  <c r="EG85" i="1"/>
  <c r="EL85" i="1" s="1"/>
  <c r="EN85" i="1" s="1"/>
  <c r="EP85" i="1" s="1"/>
  <c r="ER85" i="1" s="1"/>
  <c r="BN85" i="1"/>
  <c r="BP85" i="1"/>
  <c r="R88" i="1" s="1"/>
  <c r="EE86" i="1"/>
  <c r="AU88" i="1"/>
  <c r="CP87" i="1"/>
  <c r="DB87" i="1" s="1"/>
  <c r="BG88" i="1" s="1"/>
  <c r="CI87" i="1"/>
  <c r="CU87" i="1" s="1"/>
  <c r="AZ88" i="1" s="1"/>
  <c r="CQ87" i="1"/>
  <c r="DC87" i="1" s="1"/>
  <c r="BH88" i="1" s="1"/>
  <c r="CJ87" i="1"/>
  <c r="CV87" i="1" s="1"/>
  <c r="BA88" i="1" s="1"/>
  <c r="U90" i="1"/>
  <c r="AJ89" i="1"/>
  <c r="DH89" i="1"/>
  <c r="AV88" i="1"/>
  <c r="CK87" i="1"/>
  <c r="CW87" i="1" s="1"/>
  <c r="BB88" i="1" s="1"/>
  <c r="AS88" i="1"/>
  <c r="DQ88" i="1"/>
  <c r="CH87" i="1"/>
  <c r="CT87" i="1" s="1"/>
  <c r="AX87" i="1" s="1"/>
  <c r="AY88" i="1" s="1"/>
  <c r="EH87" i="1"/>
  <c r="BO87" i="1"/>
  <c r="BQ87" i="1"/>
  <c r="AD88" i="1" s="1"/>
  <c r="CL87" i="1"/>
  <c r="CX87" i="1" s="1"/>
  <c r="BC88" i="1" s="1"/>
  <c r="EM87" i="1" l="1"/>
  <c r="EO87" i="1" s="1"/>
  <c r="EQ87" i="1" s="1"/>
  <c r="ES87" i="1" s="1"/>
  <c r="EF86" i="1"/>
  <c r="AK90" i="1"/>
  <c r="V91" i="1"/>
  <c r="DI90" i="1"/>
  <c r="CE88" i="1"/>
  <c r="CG88" i="1"/>
  <c r="DU88" i="1" s="1"/>
  <c r="CD88" i="1"/>
  <c r="AE89" i="1" s="1"/>
  <c r="CF88" i="1"/>
  <c r="DF88" i="1"/>
  <c r="AH88" i="1"/>
  <c r="S89" i="1"/>
  <c r="AT88" i="1"/>
  <c r="DV87" i="1"/>
  <c r="DS88" i="1" l="1"/>
  <c r="AF89" i="1"/>
  <c r="DG89" i="1"/>
  <c r="AI89" i="1"/>
  <c r="T90" i="1"/>
  <c r="W92" i="1"/>
  <c r="DJ91" i="1"/>
  <c r="AL91" i="1"/>
  <c r="DW87" i="1"/>
  <c r="BK88" i="1"/>
  <c r="BL88" i="1"/>
  <c r="BM88" i="1"/>
  <c r="EK88" i="1" s="1"/>
  <c r="BJ88" i="1"/>
  <c r="DT88" i="1"/>
  <c r="AG89" i="1"/>
  <c r="AW89" i="1" s="1"/>
  <c r="EG86" i="1"/>
  <c r="EL86" i="1" s="1"/>
  <c r="EN86" i="1" s="1"/>
  <c r="EP86" i="1" s="1"/>
  <c r="ER86" i="1" s="1"/>
  <c r="BP86" i="1"/>
  <c r="R89" i="1" s="1"/>
  <c r="BN86" i="1"/>
  <c r="AU89" i="1"/>
  <c r="DR88" i="1"/>
  <c r="CO88" i="1" l="1"/>
  <c r="DA88" i="1" s="1"/>
  <c r="BF89" i="1" s="1"/>
  <c r="EJ88" i="1"/>
  <c r="CS88" i="1"/>
  <c r="DE88" i="1" s="1"/>
  <c r="CK88" i="1"/>
  <c r="CW88" i="1" s="1"/>
  <c r="BB89" i="1" s="1"/>
  <c r="CN88" i="1"/>
  <c r="CZ88" i="1" s="1"/>
  <c r="BE89" i="1" s="1"/>
  <c r="CQ88" i="1"/>
  <c r="DC88" i="1" s="1"/>
  <c r="BH89" i="1" s="1"/>
  <c r="CR88" i="1"/>
  <c r="DD88" i="1" s="1"/>
  <c r="BI89" i="1" s="1"/>
  <c r="DX87" i="1"/>
  <c r="AJ90" i="1"/>
  <c r="U91" i="1"/>
  <c r="DH90" i="1"/>
  <c r="CI88" i="1"/>
  <c r="CU88" i="1" s="1"/>
  <c r="AZ89" i="1" s="1"/>
  <c r="CJ88" i="1"/>
  <c r="CV88" i="1" s="1"/>
  <c r="BA89" i="1" s="1"/>
  <c r="EH88" i="1"/>
  <c r="AC89" i="1"/>
  <c r="CF89" i="1" s="1"/>
  <c r="DT89" i="1" s="1"/>
  <c r="BQ88" i="1"/>
  <c r="AD89" i="1" s="1"/>
  <c r="CL88" i="1"/>
  <c r="CX88" i="1" s="1"/>
  <c r="BC89" i="1" s="1"/>
  <c r="CP88" i="1"/>
  <c r="DB88" i="1" s="1"/>
  <c r="BG89" i="1" s="1"/>
  <c r="BO88" i="1"/>
  <c r="CH88" i="1"/>
  <c r="CT88" i="1" s="1"/>
  <c r="AX88" i="1" s="1"/>
  <c r="AY89" i="1" s="1"/>
  <c r="AM92" i="1"/>
  <c r="DK92" i="1"/>
  <c r="X93" i="1"/>
  <c r="CM88" i="1"/>
  <c r="CY88" i="1" s="1"/>
  <c r="BD89" i="1" s="1"/>
  <c r="AV89" i="1"/>
  <c r="S90" i="1"/>
  <c r="DF89" i="1"/>
  <c r="AH89" i="1"/>
  <c r="EI88" i="1"/>
  <c r="CG89" i="1" l="1"/>
  <c r="DU89" i="1" s="1"/>
  <c r="CD89" i="1"/>
  <c r="DR89" i="1" s="1"/>
  <c r="CE89" i="1"/>
  <c r="DS89" i="1" s="1"/>
  <c r="DQ89" i="1"/>
  <c r="AS89" i="1"/>
  <c r="EM88" i="1"/>
  <c r="EO88" i="1" s="1"/>
  <c r="EQ88" i="1" s="1"/>
  <c r="ES88" i="1" s="1"/>
  <c r="DV88" i="1"/>
  <c r="DY87" i="1"/>
  <c r="AN93" i="1"/>
  <c r="Y94" i="1"/>
  <c r="DL93" i="1"/>
  <c r="AI90" i="1"/>
  <c r="T91" i="1"/>
  <c r="DG90" i="1"/>
  <c r="AT89" i="1"/>
  <c r="BJ89" i="1" s="1"/>
  <c r="V92" i="1"/>
  <c r="DI91" i="1"/>
  <c r="AK91" i="1"/>
  <c r="AG90" i="1" l="1"/>
  <c r="AW90" i="1" s="1"/>
  <c r="AE90" i="1"/>
  <c r="AU90" i="1" s="1"/>
  <c r="AF90" i="1"/>
  <c r="AV90" i="1" s="1"/>
  <c r="BK89" i="1"/>
  <c r="EI89" i="1" s="1"/>
  <c r="BL89" i="1"/>
  <c r="EJ89" i="1" s="1"/>
  <c r="BM89" i="1"/>
  <c r="DZ87" i="1"/>
  <c r="U92" i="1"/>
  <c r="AJ91" i="1"/>
  <c r="DH91" i="1"/>
  <c r="AL92" i="1"/>
  <c r="W93" i="1"/>
  <c r="DJ92" i="1"/>
  <c r="DW88" i="1"/>
  <c r="Z95" i="1"/>
  <c r="DM94" i="1"/>
  <c r="AO94" i="1"/>
  <c r="EH89" i="1"/>
  <c r="AC90" i="1"/>
  <c r="CH89" i="1" l="1"/>
  <c r="CT89" i="1" s="1"/>
  <c r="AX89" i="1" s="1"/>
  <c r="AY90" i="1" s="1"/>
  <c r="CR89" i="1"/>
  <c r="DD89" i="1" s="1"/>
  <c r="BI90" i="1" s="1"/>
  <c r="CQ89" i="1"/>
  <c r="DC89" i="1" s="1"/>
  <c r="BH90" i="1" s="1"/>
  <c r="CK89" i="1"/>
  <c r="CW89" i="1" s="1"/>
  <c r="BB90" i="1" s="1"/>
  <c r="CJ89" i="1"/>
  <c r="CV89" i="1" s="1"/>
  <c r="BA90" i="1" s="1"/>
  <c r="CS89" i="1"/>
  <c r="DE89" i="1" s="1"/>
  <c r="CI89" i="1"/>
  <c r="CU89" i="1" s="1"/>
  <c r="AZ90" i="1" s="1"/>
  <c r="BQ89" i="1"/>
  <c r="AD90" i="1" s="1"/>
  <c r="AT90" i="1" s="1"/>
  <c r="BO89" i="1"/>
  <c r="CM89" i="1"/>
  <c r="CY89" i="1" s="1"/>
  <c r="BD90" i="1" s="1"/>
  <c r="CO89" i="1"/>
  <c r="DA89" i="1" s="1"/>
  <c r="BF90" i="1" s="1"/>
  <c r="CN89" i="1"/>
  <c r="CZ89" i="1" s="1"/>
  <c r="BE90" i="1" s="1"/>
  <c r="EK89" i="1"/>
  <c r="EM89" i="1" s="1"/>
  <c r="EO89" i="1" s="1"/>
  <c r="EQ89" i="1" s="1"/>
  <c r="ES89" i="1" s="1"/>
  <c r="CL89" i="1"/>
  <c r="CX89" i="1" s="1"/>
  <c r="BC90" i="1" s="1"/>
  <c r="CP89" i="1"/>
  <c r="DB89" i="1" s="1"/>
  <c r="BG90" i="1" s="1"/>
  <c r="AS90" i="1"/>
  <c r="DQ90" i="1"/>
  <c r="DX88" i="1"/>
  <c r="AK92" i="1"/>
  <c r="DI92" i="1"/>
  <c r="V93" i="1"/>
  <c r="AM93" i="1"/>
  <c r="DK93" i="1"/>
  <c r="X94" i="1"/>
  <c r="AA96" i="1"/>
  <c r="AP95" i="1"/>
  <c r="DN95" i="1"/>
  <c r="EA87" i="1"/>
  <c r="DV89" i="1" l="1"/>
  <c r="DW89" i="1"/>
  <c r="EB87" i="1"/>
  <c r="DY88" i="1"/>
  <c r="Y95" i="1"/>
  <c r="DL94" i="1"/>
  <c r="AN94" i="1"/>
  <c r="DO96" i="1"/>
  <c r="AQ96" i="1"/>
  <c r="AB97" i="1"/>
  <c r="AL93" i="1"/>
  <c r="DJ93" i="1"/>
  <c r="W94" i="1"/>
  <c r="EC87" i="1" l="1"/>
  <c r="DZ88" i="1"/>
  <c r="DP97" i="1"/>
  <c r="AR97" i="1"/>
  <c r="Z96" i="1"/>
  <c r="DM95" i="1"/>
  <c r="AO95" i="1"/>
  <c r="DK94" i="1"/>
  <c r="X95" i="1"/>
  <c r="AM94" i="1"/>
  <c r="DX89" i="1"/>
  <c r="DY89" i="1" l="1"/>
  <c r="EA88" i="1"/>
  <c r="DN96" i="1"/>
  <c r="AP96" i="1"/>
  <c r="AA97" i="1"/>
  <c r="ED87" i="1"/>
  <c r="AN95" i="1"/>
  <c r="Y96" i="1"/>
  <c r="DL95" i="1"/>
  <c r="DM96" i="1" l="1"/>
  <c r="Z97" i="1"/>
  <c r="AO96" i="1"/>
  <c r="EB88" i="1"/>
  <c r="EE87" i="1"/>
  <c r="DZ89" i="1"/>
  <c r="AQ97" i="1"/>
  <c r="DO97" i="1"/>
  <c r="AB98" i="1"/>
  <c r="EC88" i="1" l="1"/>
  <c r="EA89" i="1"/>
  <c r="AA98" i="1"/>
  <c r="DN97" i="1"/>
  <c r="AP97" i="1"/>
  <c r="AR98" i="1"/>
  <c r="DP98" i="1"/>
  <c r="EF87" i="1"/>
  <c r="EG87" i="1" l="1"/>
  <c r="EL87" i="1" s="1"/>
  <c r="EN87" i="1" s="1"/>
  <c r="EP87" i="1" s="1"/>
  <c r="ER87" i="1" s="1"/>
  <c r="BN87" i="1"/>
  <c r="BP87" i="1"/>
  <c r="R90" i="1" s="1"/>
  <c r="AB99" i="1"/>
  <c r="DO98" i="1"/>
  <c r="AQ98" i="1"/>
  <c r="EB89" i="1"/>
  <c r="ED88" i="1"/>
  <c r="EE88" i="1" l="1"/>
  <c r="DP99" i="1"/>
  <c r="AR99" i="1"/>
  <c r="S91" i="1"/>
  <c r="DF90" i="1"/>
  <c r="AH90" i="1"/>
  <c r="CF90" i="1"/>
  <c r="CG90" i="1"/>
  <c r="DU90" i="1" s="1"/>
  <c r="CD90" i="1"/>
  <c r="CE90" i="1"/>
  <c r="EC89" i="1"/>
  <c r="ED89" i="1" l="1"/>
  <c r="T92" i="1"/>
  <c r="DG91" i="1"/>
  <c r="AI91" i="1"/>
  <c r="DS90" i="1"/>
  <c r="AF91" i="1"/>
  <c r="DT90" i="1"/>
  <c r="AG91" i="1"/>
  <c r="AW91" i="1" s="1"/>
  <c r="DR90" i="1"/>
  <c r="AE91" i="1"/>
  <c r="BJ90" i="1"/>
  <c r="BL90" i="1"/>
  <c r="BK90" i="1"/>
  <c r="BM90" i="1"/>
  <c r="EF88" i="1"/>
  <c r="EJ90" i="1" l="1"/>
  <c r="CN90" i="1"/>
  <c r="CZ90" i="1" s="1"/>
  <c r="BE91" i="1" s="1"/>
  <c r="CI90" i="1"/>
  <c r="CU90" i="1" s="1"/>
  <c r="AZ91" i="1" s="1"/>
  <c r="CJ90" i="1"/>
  <c r="CV90" i="1" s="1"/>
  <c r="BA91" i="1" s="1"/>
  <c r="CL90" i="1"/>
  <c r="CX90" i="1" s="1"/>
  <c r="BC91" i="1" s="1"/>
  <c r="CM90" i="1"/>
  <c r="CY90" i="1" s="1"/>
  <c r="BD91" i="1" s="1"/>
  <c r="CQ90" i="1"/>
  <c r="DC90" i="1" s="1"/>
  <c r="BH91" i="1" s="1"/>
  <c r="CK90" i="1"/>
  <c r="CW90" i="1" s="1"/>
  <c r="BB91" i="1" s="1"/>
  <c r="CR90" i="1"/>
  <c r="DD90" i="1" s="1"/>
  <c r="BI91" i="1" s="1"/>
  <c r="EK90" i="1"/>
  <c r="CS90" i="1"/>
  <c r="DE90" i="1" s="1"/>
  <c r="EH90" i="1"/>
  <c r="AC91" i="1"/>
  <c r="AJ92" i="1"/>
  <c r="U93" i="1"/>
  <c r="DH92" i="1"/>
  <c r="AV91" i="1"/>
  <c r="EG88" i="1"/>
  <c r="EL88" i="1" s="1"/>
  <c r="EN88" i="1" s="1"/>
  <c r="EP88" i="1" s="1"/>
  <c r="ER88" i="1" s="1"/>
  <c r="BN88" i="1"/>
  <c r="BP88" i="1"/>
  <c r="R91" i="1" s="1"/>
  <c r="BO90" i="1"/>
  <c r="BQ90" i="1"/>
  <c r="AD91" i="1" s="1"/>
  <c r="CO90" i="1"/>
  <c r="DA90" i="1" s="1"/>
  <c r="BF91" i="1" s="1"/>
  <c r="EI90" i="1"/>
  <c r="EE89" i="1"/>
  <c r="AU91" i="1"/>
  <c r="CP90" i="1"/>
  <c r="DB90" i="1" s="1"/>
  <c r="BG91" i="1" s="1"/>
  <c r="CH90" i="1"/>
  <c r="CT90" i="1" s="1"/>
  <c r="AX90" i="1" s="1"/>
  <c r="AY91" i="1" s="1"/>
  <c r="V94" i="1" l="1"/>
  <c r="AK93" i="1"/>
  <c r="DI93" i="1"/>
  <c r="S92" i="1"/>
  <c r="AH91" i="1"/>
  <c r="DF91" i="1"/>
  <c r="CF91" i="1"/>
  <c r="CD91" i="1"/>
  <c r="AE92" i="1" s="1"/>
  <c r="CG91" i="1"/>
  <c r="DU91" i="1" s="1"/>
  <c r="CE91" i="1"/>
  <c r="AT91" i="1"/>
  <c r="AS91" i="1"/>
  <c r="DQ91" i="1"/>
  <c r="DV90" i="1"/>
  <c r="EM90" i="1"/>
  <c r="EO90" i="1" s="1"/>
  <c r="EQ90" i="1" s="1"/>
  <c r="ES90" i="1" s="1"/>
  <c r="EF89" i="1"/>
  <c r="BM91" i="1" l="1"/>
  <c r="EK91" i="1" s="1"/>
  <c r="BK91" i="1"/>
  <c r="BL91" i="1"/>
  <c r="BJ91" i="1"/>
  <c r="DG92" i="1"/>
  <c r="T93" i="1"/>
  <c r="AI92" i="1"/>
  <c r="DW90" i="1"/>
  <c r="AU92" i="1"/>
  <c r="DR91" i="1"/>
  <c r="W95" i="1"/>
  <c r="AL94" i="1"/>
  <c r="DJ94" i="1"/>
  <c r="DS91" i="1"/>
  <c r="AF92" i="1"/>
  <c r="EG89" i="1"/>
  <c r="EL89" i="1" s="1"/>
  <c r="EN89" i="1" s="1"/>
  <c r="EP89" i="1" s="1"/>
  <c r="ER89" i="1" s="1"/>
  <c r="BP89" i="1"/>
  <c r="R92" i="1" s="1"/>
  <c r="BN89" i="1"/>
  <c r="DT91" i="1"/>
  <c r="AG92" i="1"/>
  <c r="AW92" i="1" s="1"/>
  <c r="EJ91" i="1" l="1"/>
  <c r="EI91" i="1"/>
  <c r="CK91" i="1"/>
  <c r="CW91" i="1" s="1"/>
  <c r="BB92" i="1" s="1"/>
  <c r="CN91" i="1"/>
  <c r="CZ91" i="1" s="1"/>
  <c r="BE92" i="1" s="1"/>
  <c r="CO91" i="1"/>
  <c r="DA91" i="1" s="1"/>
  <c r="BF92" i="1" s="1"/>
  <c r="CP91" i="1"/>
  <c r="DB91" i="1" s="1"/>
  <c r="BG92" i="1" s="1"/>
  <c r="CR91" i="1"/>
  <c r="DD91" i="1" s="1"/>
  <c r="BI92" i="1" s="1"/>
  <c r="CQ91" i="1"/>
  <c r="DC91" i="1" s="1"/>
  <c r="BH92" i="1" s="1"/>
  <c r="CI91" i="1"/>
  <c r="CU91" i="1" s="1"/>
  <c r="AZ92" i="1" s="1"/>
  <c r="CJ91" i="1"/>
  <c r="CV91" i="1" s="1"/>
  <c r="BA92" i="1" s="1"/>
  <c r="BO91" i="1"/>
  <c r="CS91" i="1"/>
  <c r="DE91" i="1" s="1"/>
  <c r="CH91" i="1"/>
  <c r="CT91" i="1" s="1"/>
  <c r="AX91" i="1" s="1"/>
  <c r="AY92" i="1" s="1"/>
  <c r="S93" i="1"/>
  <c r="AH92" i="1"/>
  <c r="DF92" i="1"/>
  <c r="DX90" i="1"/>
  <c r="X96" i="1"/>
  <c r="DK95" i="1"/>
  <c r="AM95" i="1"/>
  <c r="EH91" i="1"/>
  <c r="AC92" i="1"/>
  <c r="CF92" i="1" s="1"/>
  <c r="BQ91" i="1"/>
  <c r="AD92" i="1" s="1"/>
  <c r="AV92" i="1"/>
  <c r="CL91" i="1"/>
  <c r="CX91" i="1" s="1"/>
  <c r="BC92" i="1" s="1"/>
  <c r="AJ93" i="1"/>
  <c r="DH93" i="1"/>
  <c r="U94" i="1"/>
  <c r="CM91" i="1"/>
  <c r="CY91" i="1" s="1"/>
  <c r="BD92" i="1" s="1"/>
  <c r="EM91" i="1" l="1"/>
  <c r="EO91" i="1" s="1"/>
  <c r="EQ91" i="1" s="1"/>
  <c r="ES91" i="1" s="1"/>
  <c r="CG92" i="1"/>
  <c r="DU92" i="1" s="1"/>
  <c r="DT92" i="1"/>
  <c r="AT92" i="1"/>
  <c r="BM92" i="1" s="1"/>
  <c r="DQ92" i="1"/>
  <c r="AS92" i="1"/>
  <c r="DY90" i="1"/>
  <c r="CE92" i="1"/>
  <c r="CD92" i="1"/>
  <c r="DV91" i="1"/>
  <c r="DI94" i="1"/>
  <c r="AK94" i="1"/>
  <c r="V95" i="1"/>
  <c r="AN96" i="1"/>
  <c r="DL96" i="1"/>
  <c r="Y97" i="1"/>
  <c r="AI93" i="1"/>
  <c r="DG93" i="1"/>
  <c r="T94" i="1"/>
  <c r="BL92" i="1" l="1"/>
  <c r="EJ92" i="1" s="1"/>
  <c r="BK92" i="1"/>
  <c r="BJ92" i="1"/>
  <c r="EK92" i="1"/>
  <c r="AG93" i="1"/>
  <c r="AW93" i="1" s="1"/>
  <c r="DM97" i="1"/>
  <c r="Z98" i="1"/>
  <c r="AO97" i="1"/>
  <c r="DW91" i="1"/>
  <c r="AJ94" i="1"/>
  <c r="U95" i="1"/>
  <c r="DH94" i="1"/>
  <c r="DJ95" i="1"/>
  <c r="AL95" i="1"/>
  <c r="W96" i="1"/>
  <c r="DR92" i="1"/>
  <c r="AE93" i="1"/>
  <c r="DS92" i="1"/>
  <c r="AF93" i="1"/>
  <c r="DZ90" i="1"/>
  <c r="EI92" i="1" l="1"/>
  <c r="BQ92" i="1"/>
  <c r="AD93" i="1" s="1"/>
  <c r="AT93" i="1" s="1"/>
  <c r="CS92" i="1"/>
  <c r="DE92" i="1" s="1"/>
  <c r="CJ92" i="1"/>
  <c r="CV92" i="1" s="1"/>
  <c r="BA93" i="1" s="1"/>
  <c r="CK92" i="1"/>
  <c r="CW92" i="1" s="1"/>
  <c r="BB93" i="1" s="1"/>
  <c r="CO92" i="1"/>
  <c r="DA92" i="1" s="1"/>
  <c r="BF93" i="1" s="1"/>
  <c r="CM92" i="1"/>
  <c r="CY92" i="1" s="1"/>
  <c r="BD93" i="1" s="1"/>
  <c r="CL92" i="1"/>
  <c r="CX92" i="1" s="1"/>
  <c r="BC93" i="1" s="1"/>
  <c r="CN92" i="1"/>
  <c r="CZ92" i="1" s="1"/>
  <c r="BE93" i="1" s="1"/>
  <c r="CH92" i="1"/>
  <c r="CT92" i="1" s="1"/>
  <c r="AX92" i="1" s="1"/>
  <c r="AY93" i="1" s="1"/>
  <c r="CP92" i="1"/>
  <c r="DB92" i="1" s="1"/>
  <c r="BG93" i="1" s="1"/>
  <c r="CQ92" i="1"/>
  <c r="DC92" i="1" s="1"/>
  <c r="BH93" i="1" s="1"/>
  <c r="BO92" i="1"/>
  <c r="CI92" i="1"/>
  <c r="CU92" i="1" s="1"/>
  <c r="AZ93" i="1" s="1"/>
  <c r="CR92" i="1"/>
  <c r="DD92" i="1" s="1"/>
  <c r="BI93" i="1" s="1"/>
  <c r="DX91" i="1"/>
  <c r="EA90" i="1"/>
  <c r="AU93" i="1"/>
  <c r="AK95" i="1"/>
  <c r="V96" i="1"/>
  <c r="DI95" i="1"/>
  <c r="EH92" i="1"/>
  <c r="AC93" i="1"/>
  <c r="AP98" i="1"/>
  <c r="DN98" i="1"/>
  <c r="AA99" i="1"/>
  <c r="AV93" i="1"/>
  <c r="X97" i="1"/>
  <c r="AM96" i="1"/>
  <c r="DK96" i="1"/>
  <c r="EM92" i="1" l="1"/>
  <c r="EO92" i="1" s="1"/>
  <c r="EQ92" i="1" s="1"/>
  <c r="ES92" i="1" s="1"/>
  <c r="DV92" i="1"/>
  <c r="DW92" i="1"/>
  <c r="DQ93" i="1"/>
  <c r="AS93" i="1"/>
  <c r="EB90" i="1"/>
  <c r="AN97" i="1"/>
  <c r="Y98" i="1"/>
  <c r="DL97" i="1"/>
  <c r="AL96" i="1"/>
  <c r="DJ96" i="1"/>
  <c r="W97" i="1"/>
  <c r="AB100" i="1"/>
  <c r="AQ99" i="1"/>
  <c r="DO99" i="1"/>
  <c r="DY91" i="1"/>
  <c r="EC90" i="1" l="1"/>
  <c r="AM97" i="1"/>
  <c r="DK97" i="1"/>
  <c r="X98" i="1"/>
  <c r="AO98" i="1"/>
  <c r="DM98" i="1"/>
  <c r="Z99" i="1"/>
  <c r="AR100" i="1"/>
  <c r="DP100" i="1"/>
  <c r="DZ91" i="1"/>
  <c r="DX92" i="1"/>
  <c r="Y99" i="1" l="1"/>
  <c r="DL98" i="1"/>
  <c r="AN98" i="1"/>
  <c r="AP99" i="1"/>
  <c r="AA100" i="1"/>
  <c r="DN99" i="1"/>
  <c r="DY92" i="1"/>
  <c r="ED90" i="1"/>
  <c r="EA91" i="1"/>
  <c r="DO100" i="1" l="1"/>
  <c r="AQ100" i="1"/>
  <c r="AB101" i="1"/>
  <c r="EE90" i="1"/>
  <c r="EB91" i="1"/>
  <c r="DZ92" i="1"/>
  <c r="Z100" i="1"/>
  <c r="DM99" i="1"/>
  <c r="AO99" i="1"/>
  <c r="EC91" i="1" l="1"/>
  <c r="DN100" i="1"/>
  <c r="AA101" i="1"/>
  <c r="AP100" i="1"/>
  <c r="EF90" i="1"/>
  <c r="DP101" i="1"/>
  <c r="AR101" i="1"/>
  <c r="EA92" i="1"/>
  <c r="AB102" i="1" l="1"/>
  <c r="AQ101" i="1"/>
  <c r="DO101" i="1"/>
  <c r="EG90" i="1"/>
  <c r="EL90" i="1" s="1"/>
  <c r="EN90" i="1" s="1"/>
  <c r="EP90" i="1" s="1"/>
  <c r="ER90" i="1" s="1"/>
  <c r="BN90" i="1"/>
  <c r="BP90" i="1"/>
  <c r="R93" i="1" s="1"/>
  <c r="EB92" i="1"/>
  <c r="ED91" i="1"/>
  <c r="S94" i="1" l="1"/>
  <c r="CE93" i="1"/>
  <c r="AH93" i="1"/>
  <c r="DF93" i="1"/>
  <c r="CG93" i="1"/>
  <c r="DU93" i="1" s="1"/>
  <c r="CD93" i="1"/>
  <c r="CF93" i="1"/>
  <c r="EE91" i="1"/>
  <c r="EC92" i="1"/>
  <c r="AR102" i="1"/>
  <c r="DP102" i="1"/>
  <c r="DT93" i="1" l="1"/>
  <c r="AG94" i="1"/>
  <c r="AW94" i="1" s="1"/>
  <c r="DR93" i="1"/>
  <c r="AE94" i="1"/>
  <c r="BK93" i="1"/>
  <c r="BM93" i="1"/>
  <c r="EK93" i="1" s="1"/>
  <c r="BL93" i="1"/>
  <c r="BJ93" i="1"/>
  <c r="DS93" i="1"/>
  <c r="AF94" i="1"/>
  <c r="ED92" i="1"/>
  <c r="EF91" i="1"/>
  <c r="AI94" i="1"/>
  <c r="DG94" i="1"/>
  <c r="T95" i="1"/>
  <c r="CK93" i="1" l="1"/>
  <c r="CW93" i="1" s="1"/>
  <c r="BB94" i="1" s="1"/>
  <c r="CS93" i="1"/>
  <c r="DE93" i="1" s="1"/>
  <c r="AU94" i="1"/>
  <c r="CP93" i="1"/>
  <c r="DB93" i="1" s="1"/>
  <c r="BG94" i="1" s="1"/>
  <c r="CO93" i="1"/>
  <c r="DA93" i="1" s="1"/>
  <c r="BF94" i="1" s="1"/>
  <c r="CR93" i="1"/>
  <c r="DD93" i="1" s="1"/>
  <c r="BI94" i="1" s="1"/>
  <c r="EH93" i="1"/>
  <c r="AC94" i="1"/>
  <c r="CJ93" i="1"/>
  <c r="CV93" i="1" s="1"/>
  <c r="BA94" i="1" s="1"/>
  <c r="EI93" i="1"/>
  <c r="AV94" i="1"/>
  <c r="CQ93" i="1"/>
  <c r="DC93" i="1" s="1"/>
  <c r="BH94" i="1" s="1"/>
  <c r="BO93" i="1"/>
  <c r="BQ93" i="1"/>
  <c r="AD94" i="1" s="1"/>
  <c r="CL93" i="1"/>
  <c r="CX93" i="1" s="1"/>
  <c r="BC94" i="1" s="1"/>
  <c r="EG91" i="1"/>
  <c r="EL91" i="1" s="1"/>
  <c r="EN91" i="1" s="1"/>
  <c r="EP91" i="1" s="1"/>
  <c r="ER91" i="1" s="1"/>
  <c r="BN91" i="1"/>
  <c r="BP91" i="1"/>
  <c r="R94" i="1" s="1"/>
  <c r="EE92" i="1"/>
  <c r="U96" i="1"/>
  <c r="DH95" i="1"/>
  <c r="AJ95" i="1"/>
  <c r="CM93" i="1"/>
  <c r="CY93" i="1" s="1"/>
  <c r="BD94" i="1" s="1"/>
  <c r="EJ93" i="1"/>
  <c r="CI93" i="1"/>
  <c r="CU93" i="1" s="1"/>
  <c r="AZ94" i="1" s="1"/>
  <c r="CN93" i="1"/>
  <c r="CZ93" i="1" s="1"/>
  <c r="BE94" i="1" s="1"/>
  <c r="CH93" i="1"/>
  <c r="CT93" i="1" s="1"/>
  <c r="AX93" i="1" s="1"/>
  <c r="AY94" i="1" s="1"/>
  <c r="DQ94" i="1" l="1"/>
  <c r="AS94" i="1"/>
  <c r="AT94" i="1"/>
  <c r="EM93" i="1"/>
  <c r="DV93" i="1"/>
  <c r="DI96" i="1"/>
  <c r="AK96" i="1"/>
  <c r="V97" i="1"/>
  <c r="EF92" i="1"/>
  <c r="AH94" i="1"/>
  <c r="DF94" i="1"/>
  <c r="S95" i="1"/>
  <c r="CF94" i="1"/>
  <c r="CE94" i="1"/>
  <c r="CD94" i="1"/>
  <c r="CG94" i="1"/>
  <c r="DU94" i="1" s="1"/>
  <c r="EG92" i="1" l="1"/>
  <c r="EL92" i="1" s="1"/>
  <c r="EN92" i="1" s="1"/>
  <c r="EP92" i="1" s="1"/>
  <c r="ER92" i="1" s="1"/>
  <c r="BP92" i="1"/>
  <c r="R95" i="1" s="1"/>
  <c r="BN92" i="1"/>
  <c r="DW93" i="1"/>
  <c r="AE95" i="1"/>
  <c r="DR94" i="1"/>
  <c r="EO93" i="1"/>
  <c r="EQ93" i="1" s="1"/>
  <c r="ES93" i="1" s="1"/>
  <c r="DS94" i="1"/>
  <c r="AF95" i="1"/>
  <c r="DT94" i="1"/>
  <c r="AG95" i="1"/>
  <c r="AW95" i="1" s="1"/>
  <c r="AI95" i="1"/>
  <c r="DG95" i="1"/>
  <c r="T96" i="1"/>
  <c r="DJ97" i="1"/>
  <c r="W98" i="1"/>
  <c r="AL97" i="1"/>
  <c r="BK94" i="1"/>
  <c r="BJ94" i="1"/>
  <c r="BL94" i="1"/>
  <c r="BM94" i="1"/>
  <c r="CL94" i="1" l="1"/>
  <c r="CX94" i="1" s="1"/>
  <c r="BC95" i="1" s="1"/>
  <c r="CS94" i="1"/>
  <c r="DE94" i="1" s="1"/>
  <c r="CK94" i="1"/>
  <c r="CW94" i="1" s="1"/>
  <c r="BB95" i="1" s="1"/>
  <c r="CH94" i="1"/>
  <c r="CT94" i="1" s="1"/>
  <c r="EH94" i="1"/>
  <c r="AC95" i="1"/>
  <c r="CD95" i="1" s="1"/>
  <c r="EJ94" i="1"/>
  <c r="AU95" i="1"/>
  <c r="BO94" i="1"/>
  <c r="AV95" i="1"/>
  <c r="CM94" i="1"/>
  <c r="CY94" i="1" s="1"/>
  <c r="BD95" i="1" s="1"/>
  <c r="EI94" i="1"/>
  <c r="CN94" i="1"/>
  <c r="CZ94" i="1" s="1"/>
  <c r="BE95" i="1" s="1"/>
  <c r="DX93" i="1"/>
  <c r="CO94" i="1"/>
  <c r="DA94" i="1" s="1"/>
  <c r="BF95" i="1" s="1"/>
  <c r="CP94" i="1"/>
  <c r="DB94" i="1" s="1"/>
  <c r="BG95" i="1" s="1"/>
  <c r="DF95" i="1"/>
  <c r="S96" i="1"/>
  <c r="AH95" i="1"/>
  <c r="DK98" i="1"/>
  <c r="AM98" i="1"/>
  <c r="X99" i="1"/>
  <c r="CI94" i="1"/>
  <c r="CU94" i="1" s="1"/>
  <c r="AZ95" i="1" s="1"/>
  <c r="CQ94" i="1"/>
  <c r="DC94" i="1" s="1"/>
  <c r="BH95" i="1" s="1"/>
  <c r="U97" i="1"/>
  <c r="DH96" i="1"/>
  <c r="AJ96" i="1"/>
  <c r="BQ94" i="1"/>
  <c r="AD95" i="1" s="1"/>
  <c r="CJ94" i="1"/>
  <c r="CV94" i="1" s="1"/>
  <c r="BA95" i="1" s="1"/>
  <c r="CR94" i="1"/>
  <c r="DD94" i="1" s="1"/>
  <c r="BI95" i="1" s="1"/>
  <c r="EK94" i="1"/>
  <c r="AX94" i="1" l="1"/>
  <c r="AY95" i="1" s="1"/>
  <c r="CE95" i="1"/>
  <c r="DS95" i="1" s="1"/>
  <c r="AI96" i="1"/>
  <c r="DG96" i="1"/>
  <c r="T97" i="1"/>
  <c r="DL99" i="1"/>
  <c r="AN99" i="1"/>
  <c r="Y100" i="1"/>
  <c r="DY93" i="1"/>
  <c r="CF95" i="1"/>
  <c r="AS95" i="1"/>
  <c r="DQ95" i="1"/>
  <c r="EM94" i="1"/>
  <c r="V98" i="1"/>
  <c r="AK97" i="1"/>
  <c r="DI97" i="1"/>
  <c r="AE96" i="1"/>
  <c r="DR95" i="1"/>
  <c r="AT95" i="1"/>
  <c r="BL95" i="1" s="1"/>
  <c r="CG95" i="1"/>
  <c r="DU95" i="1" s="1"/>
  <c r="DW94" i="1" l="1"/>
  <c r="AF96" i="1"/>
  <c r="AV96" i="1" s="1"/>
  <c r="DV94" i="1"/>
  <c r="BM95" i="1"/>
  <c r="EK95" i="1" s="1"/>
  <c r="Z101" i="1"/>
  <c r="DM100" i="1"/>
  <c r="AO100" i="1"/>
  <c r="BJ95" i="1"/>
  <c r="DT95" i="1"/>
  <c r="EJ95" i="1" s="1"/>
  <c r="AG96" i="1"/>
  <c r="AW96" i="1" s="1"/>
  <c r="BK95" i="1"/>
  <c r="EI95" i="1" s="1"/>
  <c r="AL98" i="1"/>
  <c r="DJ98" i="1"/>
  <c r="W99" i="1"/>
  <c r="AJ97" i="1"/>
  <c r="U98" i="1"/>
  <c r="DH97" i="1"/>
  <c r="EO94" i="1"/>
  <c r="EQ94" i="1" s="1"/>
  <c r="ES94" i="1" s="1"/>
  <c r="AC96" i="1"/>
  <c r="AU96" i="1"/>
  <c r="DZ93" i="1"/>
  <c r="DX94" i="1"/>
  <c r="DK99" i="1" l="1"/>
  <c r="X100" i="1"/>
  <c r="AM99" i="1"/>
  <c r="CS95" i="1"/>
  <c r="DE95" i="1" s="1"/>
  <c r="CL95" i="1"/>
  <c r="CX95" i="1" s="1"/>
  <c r="BC96" i="1" s="1"/>
  <c r="CJ95" i="1"/>
  <c r="CV95" i="1" s="1"/>
  <c r="BA96" i="1" s="1"/>
  <c r="CP95" i="1"/>
  <c r="DB95" i="1" s="1"/>
  <c r="BG96" i="1" s="1"/>
  <c r="CK95" i="1"/>
  <c r="CW95" i="1" s="1"/>
  <c r="BB96" i="1" s="1"/>
  <c r="CI95" i="1"/>
  <c r="CU95" i="1" s="1"/>
  <c r="AZ96" i="1" s="1"/>
  <c r="CR95" i="1"/>
  <c r="DD95" i="1" s="1"/>
  <c r="BI96" i="1" s="1"/>
  <c r="BO95" i="1"/>
  <c r="CQ95" i="1"/>
  <c r="DC95" i="1" s="1"/>
  <c r="BH96" i="1" s="1"/>
  <c r="CO95" i="1"/>
  <c r="DA95" i="1" s="1"/>
  <c r="BF96" i="1" s="1"/>
  <c r="CH95" i="1"/>
  <c r="CT95" i="1" s="1"/>
  <c r="AX95" i="1" s="1"/>
  <c r="AY96" i="1" s="1"/>
  <c r="CM95" i="1"/>
  <c r="CY95" i="1" s="1"/>
  <c r="BD96" i="1" s="1"/>
  <c r="CN95" i="1"/>
  <c r="CZ95" i="1" s="1"/>
  <c r="BE96" i="1" s="1"/>
  <c r="BQ95" i="1"/>
  <c r="AD96" i="1" s="1"/>
  <c r="EA93" i="1"/>
  <c r="DQ96" i="1"/>
  <c r="AS96" i="1"/>
  <c r="DY94" i="1"/>
  <c r="EH95" i="1"/>
  <c r="EM95" i="1" s="1"/>
  <c r="V99" i="1"/>
  <c r="AK98" i="1"/>
  <c r="DI98" i="1"/>
  <c r="AP101" i="1"/>
  <c r="DN101" i="1"/>
  <c r="AA102" i="1"/>
  <c r="DV95" i="1" l="1"/>
  <c r="EO95" i="1"/>
  <c r="EQ95" i="1" s="1"/>
  <c r="ES95" i="1" s="1"/>
  <c r="AQ102" i="1"/>
  <c r="DO102" i="1"/>
  <c r="DZ94" i="1"/>
  <c r="EB93" i="1"/>
  <c r="AT96" i="1"/>
  <c r="DL100" i="1"/>
  <c r="AN100" i="1"/>
  <c r="Y101" i="1"/>
  <c r="W100" i="1"/>
  <c r="DJ99" i="1"/>
  <c r="AL99" i="1"/>
  <c r="DK100" i="1" l="1"/>
  <c r="AM100" i="1"/>
  <c r="X101" i="1"/>
  <c r="EC93" i="1"/>
  <c r="AO101" i="1"/>
  <c r="Z102" i="1"/>
  <c r="DM101" i="1"/>
  <c r="EA94" i="1"/>
  <c r="DW95" i="1"/>
  <c r="Y102" i="1" l="1"/>
  <c r="AN101" i="1"/>
  <c r="DL101" i="1"/>
  <c r="DN102" i="1"/>
  <c r="AP102" i="1"/>
  <c r="EB94" i="1"/>
  <c r="DX95" i="1"/>
  <c r="ED93" i="1"/>
  <c r="EC94" i="1" l="1"/>
  <c r="AO102" i="1"/>
  <c r="DM102" i="1"/>
  <c r="DY95" i="1"/>
  <c r="EE93" i="1"/>
  <c r="DZ95" i="1" l="1"/>
  <c r="EF93" i="1"/>
  <c r="ED94" i="1"/>
  <c r="EE94" i="1" l="1"/>
  <c r="EG93" i="1"/>
  <c r="EL93" i="1" s="1"/>
  <c r="BN93" i="1"/>
  <c r="BP93" i="1"/>
  <c r="R96" i="1" s="1"/>
  <c r="EA95" i="1"/>
  <c r="CD96" i="1" l="1"/>
  <c r="CG96" i="1"/>
  <c r="DU96" i="1" s="1"/>
  <c r="CE96" i="1"/>
  <c r="CF96" i="1"/>
  <c r="AH96" i="1"/>
  <c r="S97" i="1"/>
  <c r="DF96" i="1"/>
  <c r="EB95" i="1"/>
  <c r="EN93" i="1"/>
  <c r="EP93" i="1" s="1"/>
  <c r="ER93" i="1" s="1"/>
  <c r="EF94" i="1"/>
  <c r="AI97" i="1" l="1"/>
  <c r="DG97" i="1"/>
  <c r="T98" i="1"/>
  <c r="EG94" i="1"/>
  <c r="EL94" i="1" s="1"/>
  <c r="BP94" i="1"/>
  <c r="R97" i="1" s="1"/>
  <c r="BN94" i="1"/>
  <c r="BL96" i="1"/>
  <c r="BM96" i="1"/>
  <c r="EK96" i="1" s="1"/>
  <c r="BK96" i="1"/>
  <c r="BJ96" i="1"/>
  <c r="DT96" i="1"/>
  <c r="AG97" i="1"/>
  <c r="AW97" i="1" s="1"/>
  <c r="DS96" i="1"/>
  <c r="AF97" i="1"/>
  <c r="EC95" i="1"/>
  <c r="DR96" i="1"/>
  <c r="AE97" i="1"/>
  <c r="CR96" i="1" l="1"/>
  <c r="DD96" i="1" s="1"/>
  <c r="BI97" i="1" s="1"/>
  <c r="EI96" i="1"/>
  <c r="CK96" i="1"/>
  <c r="CW96" i="1" s="1"/>
  <c r="BB97" i="1" s="1"/>
  <c r="CL96" i="1"/>
  <c r="CX96" i="1" s="1"/>
  <c r="BC97" i="1" s="1"/>
  <c r="CM96" i="1"/>
  <c r="CY96" i="1" s="1"/>
  <c r="BD97" i="1" s="1"/>
  <c r="CP96" i="1"/>
  <c r="DB96" i="1" s="1"/>
  <c r="BG97" i="1" s="1"/>
  <c r="CN96" i="1"/>
  <c r="CZ96" i="1" s="1"/>
  <c r="BE97" i="1" s="1"/>
  <c r="CQ96" i="1"/>
  <c r="DC96" i="1" s="1"/>
  <c r="BH97" i="1" s="1"/>
  <c r="EJ96" i="1"/>
  <c r="CS96" i="1"/>
  <c r="DE96" i="1" s="1"/>
  <c r="CJ96" i="1"/>
  <c r="CV96" i="1" s="1"/>
  <c r="BA97" i="1" s="1"/>
  <c r="CI96" i="1"/>
  <c r="CU96" i="1" s="1"/>
  <c r="AZ97" i="1" s="1"/>
  <c r="AH97" i="1"/>
  <c r="DF97" i="1"/>
  <c r="S98" i="1"/>
  <c r="EN94" i="1"/>
  <c r="EP94" i="1" s="1"/>
  <c r="ER94" i="1" s="1"/>
  <c r="AV97" i="1"/>
  <c r="AU97" i="1"/>
  <c r="EH96" i="1"/>
  <c r="AC97" i="1"/>
  <c r="CD97" i="1" s="1"/>
  <c r="CO96" i="1"/>
  <c r="DA96" i="1" s="1"/>
  <c r="BF97" i="1" s="1"/>
  <c r="BO96" i="1"/>
  <c r="BQ96" i="1"/>
  <c r="AD97" i="1" s="1"/>
  <c r="AT97" i="1" s="1"/>
  <c r="CH96" i="1"/>
  <c r="CT96" i="1" s="1"/>
  <c r="AX96" i="1" s="1"/>
  <c r="AY97" i="1" s="1"/>
  <c r="DH98" i="1"/>
  <c r="AJ98" i="1"/>
  <c r="U99" i="1"/>
  <c r="ED95" i="1"/>
  <c r="EM96" i="1" l="1"/>
  <c r="EO96" i="1" s="1"/>
  <c r="EQ96" i="1" s="1"/>
  <c r="ES96" i="1" s="1"/>
  <c r="CF97" i="1"/>
  <c r="CE97" i="1"/>
  <c r="CG97" i="1"/>
  <c r="DU97" i="1" s="1"/>
  <c r="DI99" i="1"/>
  <c r="AK99" i="1"/>
  <c r="V100" i="1"/>
  <c r="DV96" i="1"/>
  <c r="BK97" i="1"/>
  <c r="AE98" i="1"/>
  <c r="DR97" i="1"/>
  <c r="T99" i="1"/>
  <c r="DG98" i="1"/>
  <c r="AI98" i="1"/>
  <c r="EE95" i="1"/>
  <c r="AS97" i="1"/>
  <c r="DQ97" i="1"/>
  <c r="BJ97" i="1"/>
  <c r="BM97" i="1"/>
  <c r="BL97" i="1"/>
  <c r="CQ97" i="1" l="1"/>
  <c r="DC97" i="1" s="1"/>
  <c r="BH98" i="1" s="1"/>
  <c r="CL97" i="1"/>
  <c r="CX97" i="1" s="1"/>
  <c r="BC98" i="1" s="1"/>
  <c r="EK97" i="1"/>
  <c r="CI97" i="1"/>
  <c r="CU97" i="1" s="1"/>
  <c r="AZ98" i="1" s="1"/>
  <c r="DS97" i="1"/>
  <c r="EI97" i="1" s="1"/>
  <c r="AF98" i="1"/>
  <c r="AV98" i="1" s="1"/>
  <c r="CN97" i="1"/>
  <c r="CZ97" i="1" s="1"/>
  <c r="BE98" i="1" s="1"/>
  <c r="DT97" i="1"/>
  <c r="EJ97" i="1" s="1"/>
  <c r="AG98" i="1"/>
  <c r="AW98" i="1" s="1"/>
  <c r="CJ97" i="1"/>
  <c r="CV97" i="1" s="1"/>
  <c r="BA98" i="1" s="1"/>
  <c r="CR97" i="1"/>
  <c r="DD97" i="1" s="1"/>
  <c r="BI98" i="1" s="1"/>
  <c r="DW96" i="1"/>
  <c r="CK97" i="1"/>
  <c r="CW97" i="1" s="1"/>
  <c r="BB98" i="1" s="1"/>
  <c r="EH97" i="1"/>
  <c r="AC98" i="1"/>
  <c r="AU98" i="1"/>
  <c r="CM97" i="1"/>
  <c r="CY97" i="1" s="1"/>
  <c r="BD98" i="1" s="1"/>
  <c r="BQ97" i="1"/>
  <c r="AD98" i="1" s="1"/>
  <c r="W101" i="1"/>
  <c r="AL100" i="1"/>
  <c r="DJ100" i="1"/>
  <c r="U100" i="1"/>
  <c r="AJ99" i="1"/>
  <c r="DH99" i="1"/>
  <c r="BO97" i="1"/>
  <c r="CH97" i="1"/>
  <c r="CT97" i="1" s="1"/>
  <c r="AX97" i="1" s="1"/>
  <c r="AY98" i="1" s="1"/>
  <c r="CO97" i="1"/>
  <c r="DA97" i="1" s="1"/>
  <c r="BF98" i="1" s="1"/>
  <c r="CS97" i="1"/>
  <c r="DE97" i="1" s="1"/>
  <c r="EF95" i="1"/>
  <c r="CP97" i="1"/>
  <c r="DB97" i="1" s="1"/>
  <c r="BG98" i="1" s="1"/>
  <c r="EM97" i="1" l="1"/>
  <c r="EO97" i="1" s="1"/>
  <c r="EQ97" i="1" s="1"/>
  <c r="ES97" i="1" s="1"/>
  <c r="DQ98" i="1"/>
  <c r="AS98" i="1"/>
  <c r="DV97" i="1"/>
  <c r="AM101" i="1"/>
  <c r="X102" i="1"/>
  <c r="DK101" i="1"/>
  <c r="AT98" i="1"/>
  <c r="EG95" i="1"/>
  <c r="EL95" i="1" s="1"/>
  <c r="BN95" i="1"/>
  <c r="BP95" i="1"/>
  <c r="R98" i="1" s="1"/>
  <c r="DX96" i="1"/>
  <c r="V101" i="1"/>
  <c r="AK100" i="1"/>
  <c r="DI100" i="1"/>
  <c r="DW97" i="1" l="1"/>
  <c r="S99" i="1"/>
  <c r="AH98" i="1"/>
  <c r="DF98" i="1"/>
  <c r="CD98" i="1"/>
  <c r="CE98" i="1"/>
  <c r="CG98" i="1"/>
  <c r="DU98" i="1" s="1"/>
  <c r="CF98" i="1"/>
  <c r="DL102" i="1"/>
  <c r="AN102" i="1"/>
  <c r="DY96" i="1"/>
  <c r="EN95" i="1"/>
  <c r="EP95" i="1" s="1"/>
  <c r="ER95" i="1" s="1"/>
  <c r="AL101" i="1"/>
  <c r="DJ101" i="1"/>
  <c r="W102" i="1"/>
  <c r="BM98" i="1" l="1"/>
  <c r="EK98" i="1" s="1"/>
  <c r="BJ98" i="1"/>
  <c r="BK98" i="1"/>
  <c r="BL98" i="1"/>
  <c r="DG99" i="1"/>
  <c r="T100" i="1"/>
  <c r="AI99" i="1"/>
  <c r="DX97" i="1"/>
  <c r="DT98" i="1"/>
  <c r="AG99" i="1"/>
  <c r="AW99" i="1" s="1"/>
  <c r="DR98" i="1"/>
  <c r="AE99" i="1"/>
  <c r="DZ96" i="1"/>
  <c r="AM102" i="1"/>
  <c r="DK102" i="1"/>
  <c r="DS98" i="1"/>
  <c r="AF99" i="1"/>
  <c r="CP98" i="1" l="1"/>
  <c r="DB98" i="1" s="1"/>
  <c r="BG99" i="1" s="1"/>
  <c r="EI98" i="1"/>
  <c r="BQ98" i="1"/>
  <c r="AD99" i="1" s="1"/>
  <c r="AT99" i="1" s="1"/>
  <c r="AU99" i="1"/>
  <c r="CI98" i="1"/>
  <c r="CU98" i="1" s="1"/>
  <c r="AZ99" i="1" s="1"/>
  <c r="CQ98" i="1"/>
  <c r="DC98" i="1" s="1"/>
  <c r="BH99" i="1" s="1"/>
  <c r="DY97" i="1"/>
  <c r="CR98" i="1"/>
  <c r="DD98" i="1" s="1"/>
  <c r="BI99" i="1" s="1"/>
  <c r="BO98" i="1"/>
  <c r="CK98" i="1"/>
  <c r="CW98" i="1" s="1"/>
  <c r="BB99" i="1" s="1"/>
  <c r="EH98" i="1"/>
  <c r="AC99" i="1"/>
  <c r="U101" i="1"/>
  <c r="AJ100" i="1"/>
  <c r="DH100" i="1"/>
  <c r="CJ98" i="1"/>
  <c r="CV98" i="1" s="1"/>
  <c r="BA99" i="1" s="1"/>
  <c r="CL98" i="1"/>
  <c r="CX98" i="1" s="1"/>
  <c r="BC99" i="1" s="1"/>
  <c r="CM98" i="1"/>
  <c r="CY98" i="1" s="1"/>
  <c r="BD99" i="1" s="1"/>
  <c r="EJ98" i="1"/>
  <c r="CN98" i="1"/>
  <c r="CZ98" i="1" s="1"/>
  <c r="BE99" i="1" s="1"/>
  <c r="EA96" i="1"/>
  <c r="AV99" i="1"/>
  <c r="CS98" i="1"/>
  <c r="DE98" i="1" s="1"/>
  <c r="CO98" i="1"/>
  <c r="DA98" i="1" s="1"/>
  <c r="BF99" i="1" s="1"/>
  <c r="CH98" i="1"/>
  <c r="CT98" i="1" s="1"/>
  <c r="AX98" i="1" s="1"/>
  <c r="AY99" i="1" s="1"/>
  <c r="V102" i="1" l="1"/>
  <c r="AK101" i="1"/>
  <c r="DI101" i="1"/>
  <c r="DQ99" i="1"/>
  <c r="AS99" i="1"/>
  <c r="EM98" i="1"/>
  <c r="EO98" i="1" s="1"/>
  <c r="EQ98" i="1" s="1"/>
  <c r="ES98" i="1" s="1"/>
  <c r="DZ97" i="1"/>
  <c r="EB96" i="1"/>
  <c r="DV98" i="1"/>
  <c r="DW98" i="1" l="1"/>
  <c r="EC96" i="1"/>
  <c r="EA97" i="1"/>
  <c r="AL102" i="1"/>
  <c r="DJ102" i="1"/>
  <c r="ED96" i="1" l="1"/>
  <c r="EB97" i="1"/>
  <c r="DX98" i="1"/>
  <c r="EC97" i="1" l="1"/>
  <c r="EE96" i="1"/>
  <c r="DY98" i="1"/>
  <c r="DZ98" i="1" l="1"/>
  <c r="EF96" i="1"/>
  <c r="ED97" i="1"/>
  <c r="EE97" i="1" l="1"/>
  <c r="EA98" i="1"/>
  <c r="EG96" i="1"/>
  <c r="EL96" i="1" s="1"/>
  <c r="BP96" i="1"/>
  <c r="R99" i="1" s="1"/>
  <c r="BN96" i="1"/>
  <c r="EN96" i="1" l="1"/>
  <c r="EP96" i="1" s="1"/>
  <c r="ER96" i="1" s="1"/>
  <c r="EB98" i="1"/>
  <c r="CG99" i="1"/>
  <c r="DU99" i="1" s="1"/>
  <c r="CE99" i="1"/>
  <c r="CF99" i="1"/>
  <c r="AH99" i="1"/>
  <c r="S100" i="1"/>
  <c r="DF99" i="1"/>
  <c r="CD99" i="1"/>
  <c r="EF97" i="1"/>
  <c r="DT99" i="1" l="1"/>
  <c r="AG100" i="1"/>
  <c r="AW100" i="1" s="1"/>
  <c r="BL99" i="1"/>
  <c r="BJ99" i="1"/>
  <c r="BM99" i="1"/>
  <c r="EK99" i="1" s="1"/>
  <c r="BK99" i="1"/>
  <c r="EG97" i="1"/>
  <c r="EL97" i="1" s="1"/>
  <c r="BP97" i="1"/>
  <c r="R100" i="1" s="1"/>
  <c r="BN97" i="1"/>
  <c r="DR99" i="1"/>
  <c r="AE100" i="1"/>
  <c r="EC98" i="1"/>
  <c r="DS99" i="1"/>
  <c r="AF100" i="1"/>
  <c r="DG100" i="1"/>
  <c r="AI100" i="1"/>
  <c r="T101" i="1"/>
  <c r="CP99" i="1" l="1"/>
  <c r="DB99" i="1" s="1"/>
  <c r="BG100" i="1" s="1"/>
  <c r="CS99" i="1"/>
  <c r="DE99" i="1" s="1"/>
  <c r="CJ99" i="1"/>
  <c r="CV99" i="1" s="1"/>
  <c r="BA100" i="1" s="1"/>
  <c r="EI99" i="1"/>
  <c r="CN99" i="1"/>
  <c r="CZ99" i="1" s="1"/>
  <c r="BE100" i="1" s="1"/>
  <c r="EN97" i="1"/>
  <c r="EP97" i="1" s="1"/>
  <c r="ER97" i="1" s="1"/>
  <c r="ED98" i="1"/>
  <c r="CO99" i="1"/>
  <c r="DA99" i="1" s="1"/>
  <c r="BF100" i="1" s="1"/>
  <c r="AU100" i="1"/>
  <c r="CQ99" i="1"/>
  <c r="DC99" i="1" s="1"/>
  <c r="BH100" i="1" s="1"/>
  <c r="CI99" i="1"/>
  <c r="CU99" i="1" s="1"/>
  <c r="AZ100" i="1" s="1"/>
  <c r="BO99" i="1"/>
  <c r="BQ99" i="1"/>
  <c r="AD100" i="1" s="1"/>
  <c r="CR99" i="1"/>
  <c r="DD99" i="1" s="1"/>
  <c r="BI100" i="1" s="1"/>
  <c r="DH101" i="1"/>
  <c r="U102" i="1"/>
  <c r="AJ101" i="1"/>
  <c r="CK99" i="1"/>
  <c r="CW99" i="1" s="1"/>
  <c r="BB100" i="1" s="1"/>
  <c r="EH99" i="1"/>
  <c r="AC100" i="1"/>
  <c r="CD100" i="1" s="1"/>
  <c r="AV100" i="1"/>
  <c r="CL99" i="1"/>
  <c r="CX99" i="1" s="1"/>
  <c r="BC100" i="1" s="1"/>
  <c r="EJ99" i="1"/>
  <c r="CM99" i="1"/>
  <c r="CY99" i="1" s="1"/>
  <c r="BD100" i="1" s="1"/>
  <c r="DF100" i="1"/>
  <c r="S101" i="1"/>
  <c r="AH100" i="1"/>
  <c r="CH99" i="1"/>
  <c r="CT99" i="1" s="1"/>
  <c r="AX99" i="1" s="1"/>
  <c r="AY100" i="1" s="1"/>
  <c r="CE100" i="1" l="1"/>
  <c r="DS100" i="1" s="1"/>
  <c r="CG100" i="1"/>
  <c r="DU100" i="1" s="1"/>
  <c r="CF100" i="1"/>
  <c r="DT100" i="1" s="1"/>
  <c r="AK102" i="1"/>
  <c r="DI102" i="1"/>
  <c r="DR100" i="1"/>
  <c r="DQ100" i="1"/>
  <c r="AS100" i="1"/>
  <c r="DV99" i="1"/>
  <c r="DG101" i="1"/>
  <c r="AI101" i="1"/>
  <c r="T102" i="1"/>
  <c r="EM99" i="1"/>
  <c r="EO99" i="1" s="1"/>
  <c r="EQ99" i="1" s="1"/>
  <c r="ES99" i="1" s="1"/>
  <c r="AT100" i="1"/>
  <c r="BJ100" i="1" s="1"/>
  <c r="AE101" i="1"/>
  <c r="EE98" i="1"/>
  <c r="AF101" i="1" l="1"/>
  <c r="AV101" i="1" s="1"/>
  <c r="AG101" i="1"/>
  <c r="AW101" i="1" s="1"/>
  <c r="BK100" i="1"/>
  <c r="EI100" i="1" s="1"/>
  <c r="BM100" i="1"/>
  <c r="EK100" i="1" s="1"/>
  <c r="AU101" i="1"/>
  <c r="BL100" i="1"/>
  <c r="EJ100" i="1" s="1"/>
  <c r="EH100" i="1"/>
  <c r="AC101" i="1"/>
  <c r="DW99" i="1"/>
  <c r="DH102" i="1"/>
  <c r="AJ102" i="1"/>
  <c r="EF98" i="1"/>
  <c r="CL100" i="1" l="1"/>
  <c r="CX100" i="1" s="1"/>
  <c r="BC101" i="1" s="1"/>
  <c r="CS100" i="1"/>
  <c r="DE100" i="1" s="1"/>
  <c r="CM100" i="1"/>
  <c r="CY100" i="1" s="1"/>
  <c r="BD101" i="1" s="1"/>
  <c r="CI100" i="1"/>
  <c r="CU100" i="1" s="1"/>
  <c r="AZ101" i="1" s="1"/>
  <c r="CN100" i="1"/>
  <c r="CZ100" i="1" s="1"/>
  <c r="BE101" i="1" s="1"/>
  <c r="CQ100" i="1"/>
  <c r="DC100" i="1" s="1"/>
  <c r="BH101" i="1" s="1"/>
  <c r="CO100" i="1"/>
  <c r="DA100" i="1" s="1"/>
  <c r="BF101" i="1" s="1"/>
  <c r="BQ100" i="1"/>
  <c r="AD101" i="1" s="1"/>
  <c r="DX99" i="1"/>
  <c r="CJ100" i="1"/>
  <c r="CV100" i="1" s="1"/>
  <c r="BA101" i="1" s="1"/>
  <c r="BO100" i="1"/>
  <c r="AS101" i="1"/>
  <c r="DQ101" i="1"/>
  <c r="CR100" i="1"/>
  <c r="DD100" i="1" s="1"/>
  <c r="BI101" i="1" s="1"/>
  <c r="CP100" i="1"/>
  <c r="DB100" i="1" s="1"/>
  <c r="BG101" i="1" s="1"/>
  <c r="EG98" i="1"/>
  <c r="EL98" i="1" s="1"/>
  <c r="EN98" i="1" s="1"/>
  <c r="EP98" i="1" s="1"/>
  <c r="ER98" i="1" s="1"/>
  <c r="BN98" i="1"/>
  <c r="BP98" i="1"/>
  <c r="R101" i="1" s="1"/>
  <c r="EM100" i="1"/>
  <c r="EO100" i="1" s="1"/>
  <c r="EQ100" i="1" s="1"/>
  <c r="ES100" i="1" s="1"/>
  <c r="CK100" i="1"/>
  <c r="CW100" i="1" s="1"/>
  <c r="BB101" i="1" s="1"/>
  <c r="CH100" i="1"/>
  <c r="CT100" i="1" s="1"/>
  <c r="AX100" i="1" s="1"/>
  <c r="AY101" i="1" s="1"/>
  <c r="S102" i="1" l="1"/>
  <c r="DF101" i="1"/>
  <c r="AH101" i="1"/>
  <c r="CD101" i="1"/>
  <c r="CG101" i="1"/>
  <c r="DU101" i="1" s="1"/>
  <c r="CF101" i="1"/>
  <c r="CE101" i="1"/>
  <c r="DV100" i="1"/>
  <c r="DY99" i="1"/>
  <c r="AT101" i="1"/>
  <c r="DS101" i="1" l="1"/>
  <c r="AF102" i="1"/>
  <c r="AV102" i="1" s="1"/>
  <c r="DZ99" i="1"/>
  <c r="DT101" i="1"/>
  <c r="AG102" i="1"/>
  <c r="AW102" i="1" s="1"/>
  <c r="DR101" i="1"/>
  <c r="BJ101" i="1"/>
  <c r="BL101" i="1"/>
  <c r="BK101" i="1"/>
  <c r="BM101" i="1"/>
  <c r="EK101" i="1" s="1"/>
  <c r="DW100" i="1"/>
  <c r="AE102" i="1"/>
  <c r="AU102" i="1" s="1"/>
  <c r="AI102" i="1"/>
  <c r="DG102" i="1"/>
  <c r="CR101" i="1" l="1"/>
  <c r="DD101" i="1" s="1"/>
  <c r="BI102" i="1" s="1"/>
  <c r="CN101" i="1"/>
  <c r="CZ101" i="1" s="1"/>
  <c r="BE102" i="1" s="1"/>
  <c r="EJ101" i="1"/>
  <c r="CO101" i="1"/>
  <c r="DA101" i="1" s="1"/>
  <c r="BF102" i="1" s="1"/>
  <c r="DX100" i="1"/>
  <c r="CP101" i="1"/>
  <c r="DB101" i="1" s="1"/>
  <c r="BG102" i="1" s="1"/>
  <c r="CS101" i="1"/>
  <c r="DE101" i="1" s="1"/>
  <c r="CI101" i="1"/>
  <c r="CU101" i="1" s="1"/>
  <c r="AZ102" i="1" s="1"/>
  <c r="CQ101" i="1"/>
  <c r="DC101" i="1" s="1"/>
  <c r="BH102" i="1" s="1"/>
  <c r="BQ101" i="1"/>
  <c r="AD102" i="1" s="1"/>
  <c r="CJ101" i="1"/>
  <c r="CV101" i="1" s="1"/>
  <c r="BA102" i="1" s="1"/>
  <c r="EA99" i="1"/>
  <c r="BO101" i="1"/>
  <c r="CH101" i="1"/>
  <c r="CT101" i="1" s="1"/>
  <c r="AX101" i="1" s="1"/>
  <c r="AY102" i="1" s="1"/>
  <c r="CK101" i="1"/>
  <c r="CW101" i="1" s="1"/>
  <c r="BB102" i="1" s="1"/>
  <c r="EH101" i="1"/>
  <c r="AC102" i="1"/>
  <c r="CL101" i="1"/>
  <c r="CX101" i="1" s="1"/>
  <c r="BC102" i="1" s="1"/>
  <c r="EI101" i="1"/>
  <c r="CM101" i="1"/>
  <c r="CY101" i="1" s="1"/>
  <c r="BD102" i="1" s="1"/>
  <c r="EB99" i="1" l="1"/>
  <c r="DY100" i="1"/>
  <c r="AT102" i="1"/>
  <c r="AS102" i="1"/>
  <c r="DQ102" i="1"/>
  <c r="EM101" i="1"/>
  <c r="EO101" i="1" s="1"/>
  <c r="EQ101" i="1" s="1"/>
  <c r="ES101" i="1" s="1"/>
  <c r="DV101" i="1"/>
  <c r="DW101" i="1" l="1"/>
  <c r="DZ100" i="1"/>
  <c r="EC99" i="1"/>
  <c r="ED99" i="1" l="1"/>
  <c r="EA100" i="1"/>
  <c r="DX101" i="1"/>
  <c r="DY101" i="1" l="1"/>
  <c r="EB100" i="1"/>
  <c r="EE99" i="1"/>
  <c r="EC100" i="1" l="1"/>
  <c r="EF99" i="1"/>
  <c r="DZ101" i="1"/>
  <c r="EA101" i="1" l="1"/>
  <c r="EG99" i="1"/>
  <c r="EL99" i="1" s="1"/>
  <c r="EN99" i="1" s="1"/>
  <c r="EP99" i="1" s="1"/>
  <c r="ER99" i="1" s="1"/>
  <c r="BN99" i="1"/>
  <c r="BP99" i="1"/>
  <c r="R102" i="1" s="1"/>
  <c r="ED100" i="1"/>
  <c r="AH102" i="1" l="1"/>
  <c r="DF102" i="1"/>
  <c r="CG102" i="1"/>
  <c r="DU102" i="1" s="1"/>
  <c r="CF102" i="1"/>
  <c r="DT102" i="1" s="1"/>
  <c r="CE102" i="1"/>
  <c r="DS102" i="1" s="1"/>
  <c r="CD102" i="1"/>
  <c r="EE100" i="1"/>
  <c r="EB101" i="1"/>
  <c r="EF100" i="1" l="1"/>
  <c r="DR102" i="1"/>
  <c r="EC101" i="1"/>
  <c r="BJ102" i="1"/>
  <c r="BL102" i="1"/>
  <c r="EJ102" i="1" s="1"/>
  <c r="BM102" i="1"/>
  <c r="EK102" i="1" s="1"/>
  <c r="BK102" i="1"/>
  <c r="EI102" i="1" s="1"/>
  <c r="CR102" i="1" l="1"/>
  <c r="DD102" i="1" s="1"/>
  <c r="CI102" i="1"/>
  <c r="CU102" i="1" s="1"/>
  <c r="CP102" i="1"/>
  <c r="DB102" i="1" s="1"/>
  <c r="CQ102" i="1"/>
  <c r="DC102" i="1" s="1"/>
  <c r="CN102" i="1"/>
  <c r="CZ102" i="1" s="1"/>
  <c r="CK102" i="1"/>
  <c r="CW102" i="1" s="1"/>
  <c r="EH102" i="1"/>
  <c r="EM102" i="1" s="1"/>
  <c r="CS102" i="1"/>
  <c r="DE102" i="1" s="1"/>
  <c r="CJ102" i="1"/>
  <c r="CV102" i="1" s="1"/>
  <c r="CM102" i="1"/>
  <c r="CY102" i="1" s="1"/>
  <c r="EG100" i="1"/>
  <c r="EL100" i="1" s="1"/>
  <c r="EN100" i="1" s="1"/>
  <c r="EP100" i="1" s="1"/>
  <c r="ER100" i="1" s="1"/>
  <c r="BN100" i="1"/>
  <c r="BP100" i="1"/>
  <c r="ED101" i="1"/>
  <c r="CO102" i="1"/>
  <c r="DA102" i="1" s="1"/>
  <c r="BO102" i="1"/>
  <c r="B14" i="1" s="1"/>
  <c r="BQ102" i="1"/>
  <c r="B15" i="1" s="1"/>
  <c r="M29" i="5" s="1"/>
  <c r="CL102" i="1"/>
  <c r="CX102" i="1" s="1"/>
  <c r="CH102" i="1"/>
  <c r="CT102" i="1" s="1"/>
  <c r="AX102" i="1" s="1"/>
  <c r="EE101" i="1" l="1"/>
  <c r="DV102" i="1"/>
  <c r="EO102" i="1"/>
  <c r="EQ102" i="1" s="1"/>
  <c r="ES102" i="1" s="1"/>
  <c r="B3" i="1" s="1"/>
  <c r="X1" i="5" s="1"/>
  <c r="B6" i="1"/>
  <c r="B18" i="1" l="1"/>
  <c r="M43" i="5" s="1"/>
  <c r="M15" i="5"/>
  <c r="DW102" i="1"/>
  <c r="EF101" i="1"/>
  <c r="DX102" i="1" l="1"/>
  <c r="EG101" i="1"/>
  <c r="EL101" i="1" s="1"/>
  <c r="EN101" i="1" s="1"/>
  <c r="EP101" i="1" s="1"/>
  <c r="ER101" i="1" s="1"/>
  <c r="BN101" i="1"/>
  <c r="BP101" i="1"/>
  <c r="DY102" i="1" l="1"/>
  <c r="DZ102" i="1" l="1"/>
  <c r="EA102" i="1" l="1"/>
  <c r="EB102" i="1" l="1"/>
  <c r="EC102" i="1" l="1"/>
  <c r="ED102" i="1" l="1"/>
  <c r="EE102" i="1" l="1"/>
  <c r="EF102" i="1" l="1"/>
  <c r="EG102" i="1" l="1"/>
  <c r="EL102" i="1" s="1"/>
  <c r="BN102" i="1"/>
  <c r="B12" i="1" s="1"/>
  <c r="BP102" i="1"/>
  <c r="B13" i="1" s="1"/>
  <c r="B29" i="5" s="1"/>
  <c r="EN102" i="1" l="1"/>
  <c r="EP102" i="1" s="1"/>
  <c r="ER102" i="1" s="1"/>
  <c r="B5" i="1"/>
  <c r="B15" i="5" l="1"/>
  <c r="B7" i="1"/>
  <c r="B17" i="1"/>
  <c r="B43" i="5" s="1"/>
  <c r="B2" i="1"/>
  <c r="M1" i="5" s="1"/>
  <c r="B4" i="1"/>
  <c r="B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<sst xmlns="http://schemas.openxmlformats.org/spreadsheetml/2006/main" count="890" uniqueCount="110">
  <si>
    <t>PREDATOR PRICE</t>
  </si>
  <si>
    <t>PREY PRICE</t>
  </si>
  <si>
    <t>PREDATOR COST PER UNIT EFFORT</t>
  </si>
  <si>
    <t>PREY COST PER UNIT EFFORT</t>
  </si>
  <si>
    <t>PREDATOR RECRUITMENT PARAM A</t>
  </si>
  <si>
    <t>PREDATOR RECRUITMENT PARAM B</t>
  </si>
  <si>
    <t>PREY RECRUITMENT PARAM A</t>
  </si>
  <si>
    <t>PREY RECRUITMENT PARAM B</t>
  </si>
  <si>
    <t>BASE NM</t>
  </si>
  <si>
    <t>NM COEFFICIENT</t>
  </si>
  <si>
    <t>BASE W</t>
  </si>
  <si>
    <t>W COEFFICIENT</t>
  </si>
  <si>
    <t xml:space="preserve">W COEFFICIENT </t>
  </si>
  <si>
    <t>CATCHABILITY</t>
  </si>
  <si>
    <t>PREY AGE-SPECIFIC SPECS</t>
  </si>
  <si>
    <t>PREDATOR AGE-SPECIFIC SPECS</t>
  </si>
  <si>
    <t>RECRUITMENT PARAMETERS</t>
  </si>
  <si>
    <t>ECONOMIC PARAMETERS</t>
  </si>
  <si>
    <t>DISCOUNT RATE</t>
  </si>
  <si>
    <t>CONTROL VARIABLES</t>
  </si>
  <si>
    <t>PREDATOR EFFORT</t>
  </si>
  <si>
    <t>PREY EFFORT</t>
  </si>
  <si>
    <t>OBJECTIVES</t>
  </si>
  <si>
    <t>TIME</t>
  </si>
  <si>
    <t>PRED 3</t>
  </si>
  <si>
    <t>PRED 4</t>
  </si>
  <si>
    <t>PRED 5</t>
  </si>
  <si>
    <t>PRED 6</t>
  </si>
  <si>
    <t>PREY 1</t>
  </si>
  <si>
    <t>PREY 2</t>
  </si>
  <si>
    <t>NUM INDIVIDUALS AT AGE</t>
  </si>
  <si>
    <t>NM AT AGE</t>
  </si>
  <si>
    <t>W AT AGE</t>
  </si>
  <si>
    <t>NUM MAT INDIVIDUALS AT AGE</t>
  </si>
  <si>
    <t>PRED STOCK BIOMASS</t>
  </si>
  <si>
    <t>PREY STOCK BIOMASS</t>
  </si>
  <si>
    <t>PRED SSB</t>
  </si>
  <si>
    <t>PREY SSB</t>
  </si>
  <si>
    <t>HARVEST NUM INDIVIDUALS</t>
  </si>
  <si>
    <t>HARVEST BIOMASS BY AGE</t>
  </si>
  <si>
    <t>PREDATOR TOT HARVEST</t>
  </si>
  <si>
    <t>PREY TOT HARVEST</t>
  </si>
  <si>
    <t>PREDATOR REVENUE</t>
  </si>
  <si>
    <t>PREY REVENUE</t>
  </si>
  <si>
    <t>MATURITY</t>
  </si>
  <si>
    <t>PREDATOR PROFITS</t>
  </si>
  <si>
    <t>PREY PROFITS</t>
  </si>
  <si>
    <t>PREDATOR DISCOUNTED PROFITS</t>
  </si>
  <si>
    <t>PREY DISCOUNTED PROFITS</t>
  </si>
  <si>
    <t>PREDATOR AVG HARVEST</t>
  </si>
  <si>
    <t>TOTAL AVG HARVEST</t>
  </si>
  <si>
    <t>STOCK MEASUREMENTS</t>
  </si>
  <si>
    <t>ECONOMIC VARIABLES AND MEASUREMENTS</t>
  </si>
  <si>
    <t>PREY AVG HARVEST</t>
  </si>
  <si>
    <t>INFO</t>
  </si>
  <si>
    <t>PREDATOR AVG STOCK BIOMASS</t>
  </si>
  <si>
    <t>PREDATOR AVG SSB</t>
  </si>
  <si>
    <t>PREY AVG STOCK BIOMASS</t>
  </si>
  <si>
    <t>PREY AVG SSB</t>
  </si>
  <si>
    <t xml:space="preserve">PRED NUM MAT / PREY NUM </t>
  </si>
  <si>
    <t>PREDATOR DISC PROFITS</t>
  </si>
  <si>
    <t>PREY DISC PROFITS</t>
  </si>
  <si>
    <t>DISC TOTAL PROFITS</t>
  </si>
  <si>
    <t>EFFORT</t>
  </si>
  <si>
    <t>PRED E</t>
  </si>
  <si>
    <t>PREY E</t>
  </si>
  <si>
    <t>YEAR</t>
  </si>
  <si>
    <t>PRED 7</t>
  </si>
  <si>
    <t>PRED 8</t>
  </si>
  <si>
    <t>PRED 9</t>
  </si>
  <si>
    <t>PRED 10</t>
  </si>
  <si>
    <t>PRED 11</t>
  </si>
  <si>
    <t>PRED 12</t>
  </si>
  <si>
    <t>PRED 13</t>
  </si>
  <si>
    <t>PRED 14</t>
  </si>
  <si>
    <t>PREY 3</t>
  </si>
  <si>
    <t>PREY 4</t>
  </si>
  <si>
    <t>COPY FIELD</t>
  </si>
  <si>
    <t>p1</t>
  </si>
  <si>
    <t>p2</t>
  </si>
  <si>
    <t>p3</t>
  </si>
  <si>
    <t>p4</t>
  </si>
  <si>
    <t>PREDATION BIOMASS BY AGE</t>
  </si>
  <si>
    <t>Model steady-state weight</t>
  </si>
  <si>
    <t>PREDATION BIOMASS PER INDIVIDUAL</t>
  </si>
  <si>
    <t>SCALING FACTOR WEIGHT</t>
  </si>
  <si>
    <t>SCALING FACTOR NM</t>
  </si>
  <si>
    <t>PRED CPUE</t>
  </si>
  <si>
    <t>PREY CPUE</t>
  </si>
  <si>
    <t xml:space="preserve">NPV </t>
  </si>
  <si>
    <t>NPV PREDATOR</t>
  </si>
  <si>
    <t>NPV PREY</t>
  </si>
  <si>
    <t>CF</t>
  </si>
  <si>
    <t>Harvest predator</t>
  </si>
  <si>
    <t>Harvest prey</t>
  </si>
  <si>
    <t>SSB predator</t>
  </si>
  <si>
    <t>SSB prey</t>
  </si>
  <si>
    <t>CPUE predator</t>
  </si>
  <si>
    <t>CPUE prey</t>
  </si>
  <si>
    <t>PREDATOR CATCHABILITY MODES</t>
  </si>
  <si>
    <t xml:space="preserve">MODE SELECTOR </t>
  </si>
  <si>
    <t>MODE SELECTOR</t>
  </si>
  <si>
    <t>PREDATOR CONVERSION MODES</t>
  </si>
  <si>
    <t>PREDATION MODE 1</t>
  </si>
  <si>
    <t>PREDATION MODE 0</t>
  </si>
  <si>
    <t>;</t>
  </si>
  <si>
    <t>v</t>
  </si>
  <si>
    <t>BASE W based on V calc</t>
  </si>
  <si>
    <t>Model W</t>
  </si>
  <si>
    <t>Model W/base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</si>
</sst>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applyBorder="1"/>
    <xf numFmtId="0" fontId="1" fillId="6" borderId="1" xfId="0" applyFont="1" applyFill="1" applyBorder="1"/>
    <xf numFmtId="0" fontId="1" fillId="4" borderId="1" xfId="0" applyFont="1" applyFill="1" applyBorder="1"/>
    <xf numFmtId="0" fontId="1" fillId="5" borderId="3" xfId="0" applyFont="1" applyFill="1" applyBorder="1"/>
    <xf numFmtId="0" fontId="1" fillId="6" borderId="4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5" xfId="0" applyFont="1" applyFill="1" applyBorder="1"/>
    <xf numFmtId="0" fontId="1" fillId="5" borderId="2" xfId="0" applyFont="1" applyFill="1" applyBorder="1"/>
    <xf numFmtId="0" fontId="1" fillId="5" borderId="5" xfId="0" applyFont="1" applyFill="1" applyBorder="1"/>
    <xf numFmtId="0" fontId="1" fillId="3" borderId="1" xfId="0" applyFont="1" applyFill="1" applyBorder="1"/>
    <xf numFmtId="0" fontId="0" fillId="3" borderId="1" xfId="0" applyFill="1" applyBorder="1"/>
    <xf numFmtId="0" fontId="0" fillId="8" borderId="1" xfId="0" applyFill="1" applyBorder="1"/>
    <xf numFmtId="0" fontId="1" fillId="7" borderId="1" xfId="0" applyFont="1" applyFill="1" applyBorder="1"/>
    <xf numFmtId="0" fontId="0" fillId="7" borderId="1" xfId="0" applyFill="1" applyBorder="1"/>
    <xf numFmtId="0" fontId="0" fillId="9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0" fillId="10" borderId="1" xfId="0" applyFill="1" applyBorder="1"/>
    <xf numFmtId="0" fontId="0" fillId="10" borderId="6" xfId="0" applyFill="1" applyBorder="1"/>
    <xf numFmtId="0" fontId="0" fillId="11" borderId="1" xfId="0" applyFill="1" applyBorder="1"/>
    <xf numFmtId="0" fontId="1" fillId="12" borderId="2" xfId="0" applyFont="1" applyFill="1" applyBorder="1"/>
    <xf numFmtId="0" fontId="0" fillId="2" borderId="7" xfId="0" applyFill="1" applyBorder="1"/>
    <xf numFmtId="0" fontId="1" fillId="5" borderId="8" xfId="0" applyFont="1" applyFill="1" applyBorder="1"/>
    <xf numFmtId="0" fontId="1" fillId="5" borderId="4" xfId="0" applyFont="1" applyFill="1" applyBorder="1"/>
    <xf numFmtId="11" fontId="0" fillId="10" borderId="1" xfId="0" applyNumberFormat="1" applyFill="1" applyBorder="1"/>
    <xf numFmtId="11" fontId="0" fillId="8" borderId="1" xfId="0" applyNumberFormat="1" applyFill="1" applyBorder="1"/>
    <xf numFmtId="4" fontId="0" fillId="9" borderId="1" xfId="0" applyNumberFormat="1" applyFill="1" applyBorder="1"/>
    <xf numFmtId="11" fontId="0" fillId="0" borderId="0" xfId="0" applyNumberFormat="1"/>
    <xf numFmtId="4" fontId="0" fillId="11" borderId="1" xfId="0" applyNumberFormat="1" applyFill="1" applyBorder="1"/>
    <xf numFmtId="11" fontId="0" fillId="11" borderId="1" xfId="0" applyNumberFormat="1" applyFill="1" applyBorder="1"/>
    <xf numFmtId="4" fontId="0" fillId="8" borderId="1" xfId="0" applyNumberFormat="1" applyFill="1" applyBorder="1"/>
    <xf numFmtId="4" fontId="0" fillId="0" borderId="0" xfId="0" applyNumberFormat="1"/>
    <xf numFmtId="2" fontId="0" fillId="0" borderId="0" xfId="0" applyNumberFormat="1"/>
    <xf numFmtId="164" fontId="0" fillId="8" borderId="1" xfId="0" applyNumberFormat="1" applyFill="1" applyBorder="1"/>
    <xf numFmtId="2" fontId="0" fillId="8" borderId="1" xfId="0" applyNumberFormat="1" applyFill="1" applyBorder="1"/>
    <xf numFmtId="0" fontId="1" fillId="5" borderId="9" xfId="0" applyFont="1" applyFill="1" applyBorder="1"/>
    <xf numFmtId="0" fontId="0" fillId="7" borderId="4" xfId="0" applyFill="1" applyBorder="1"/>
    <xf numFmtId="0" fontId="0" fillId="7" borderId="2" xfId="0" applyFill="1" applyBorder="1"/>
    <xf numFmtId="0" fontId="0" fillId="7" borderId="5" xfId="0" applyFill="1" applyBorder="1"/>
    <xf numFmtId="0" fontId="0" fillId="7" borderId="3" xfId="0" applyFill="1" applyBorder="1"/>
    <xf numFmtId="0" fontId="0" fillId="13" borderId="7" xfId="0" applyFill="1" applyBorder="1"/>
    <xf numFmtId="0" fontId="0" fillId="13" borderId="1" xfId="0" applyFill="1" applyBorder="1"/>
    <xf numFmtId="4" fontId="0" fillId="9" borderId="7" xfId="0" applyNumberFormat="1" applyFill="1" applyBorder="1"/>
    <xf numFmtId="0" fontId="0" fillId="8" borderId="0" xfId="0" applyFill="1"/>
    <xf numFmtId="4" fontId="0" fillId="8" borderId="0" xfId="0" applyNumberFormat="1" applyFill="1"/>
    <xf numFmtId="0" fontId="1" fillId="10" borderId="1" xfId="0" applyFont="1" applyFill="1" applyBorder="1"/>
    <xf numFmtId="0" fontId="1" fillId="15" borderId="1" xfId="0" applyFont="1" applyFill="1" applyBorder="1"/>
    <xf numFmtId="0" fontId="0" fillId="15" borderId="1" xfId="0" applyFill="1" applyBorder="1"/>
    <xf numFmtId="0" fontId="0" fillId="0" borderId="0" xfId="0" applyFill="1" applyBorder="1"/>
    <xf numFmtId="0" fontId="0" fillId="18" borderId="1" xfId="0" applyFill="1" applyBorder="1"/>
    <xf numFmtId="0" fontId="0" fillId="18" borderId="10" xfId="0" applyFill="1" applyBorder="1"/>
    <xf numFmtId="0" fontId="0" fillId="18" borderId="12" xfId="0" applyFill="1" applyBorder="1"/>
    <xf numFmtId="0" fontId="0" fillId="18" borderId="13" xfId="0" applyFill="1" applyBorder="1"/>
    <xf numFmtId="0" fontId="0" fillId="18" borderId="15" xfId="0" applyFill="1" applyBorder="1"/>
    <xf numFmtId="0" fontId="0" fillId="18" borderId="4" xfId="0" applyFill="1" applyBorder="1"/>
    <xf numFmtId="11" fontId="0" fillId="18" borderId="1" xfId="0" applyNumberFormat="1" applyFill="1" applyBorder="1"/>
    <xf numFmtId="11" fontId="0" fillId="0" borderId="0" xfId="0" applyNumberFormat="1" applyFill="1" applyBorder="1"/>
    <xf numFmtId="11" fontId="0" fillId="18" borderId="11" xfId="0" applyNumberFormat="1" applyFill="1" applyBorder="1"/>
    <xf numFmtId="11" fontId="0" fillId="18" borderId="13" xfId="0" applyNumberFormat="1" applyFill="1" applyBorder="1"/>
    <xf numFmtId="11" fontId="0" fillId="18" borderId="14" xfId="0" applyNumberFormat="1" applyFill="1" applyBorder="1"/>
    <xf numFmtId="0" fontId="0" fillId="18" borderId="16" xfId="0" applyFill="1" applyBorder="1"/>
    <xf numFmtId="0" fontId="0" fillId="18" borderId="17" xfId="0" applyFill="1" applyBorder="1"/>
    <xf numFmtId="0" fontId="0" fillId="17" borderId="16" xfId="0" applyFill="1" applyBorder="1"/>
    <xf numFmtId="0" fontId="0" fillId="17" borderId="17" xfId="0" applyFill="1" applyBorder="1"/>
    <xf numFmtId="0" fontId="0" fillId="16" borderId="16" xfId="0" applyFill="1" applyBorder="1"/>
    <xf numFmtId="0" fontId="0" fillId="16" borderId="18" xfId="0" applyFill="1" applyBorder="1"/>
    <xf numFmtId="0" fontId="0" fillId="16" borderId="19" xfId="0" applyFill="1" applyBorder="1"/>
    <xf numFmtId="0" fontId="0" fillId="16" borderId="20" xfId="0" applyFill="1" applyBorder="1"/>
    <xf numFmtId="0" fontId="0" fillId="16" borderId="21" xfId="0" applyFill="1" applyBorder="1"/>
    <xf numFmtId="11" fontId="0" fillId="16" borderId="20" xfId="0" applyNumberFormat="1" applyFill="1" applyBorder="1"/>
    <xf numFmtId="0" fontId="0" fillId="16" borderId="22" xfId="0" applyFill="1" applyBorder="1"/>
    <xf numFmtId="0" fontId="0" fillId="17" borderId="21" xfId="0" applyFill="1" applyBorder="1"/>
    <xf numFmtId="0" fontId="0" fillId="17" borderId="20" xfId="0" applyFill="1" applyBorder="1"/>
    <xf numFmtId="0" fontId="0" fillId="17" borderId="22" xfId="0" applyFill="1" applyBorder="1"/>
    <xf numFmtId="0" fontId="0" fillId="16" borderId="23" xfId="0" applyFill="1" applyBorder="1"/>
    <xf numFmtId="0" fontId="0" fillId="16" borderId="24" xfId="0" applyFill="1" applyBorder="1"/>
    <xf numFmtId="11" fontId="0" fillId="16" borderId="24" xfId="0" applyNumberFormat="1" applyFill="1" applyBorder="1"/>
    <xf numFmtId="11" fontId="0" fillId="16" borderId="17" xfId="0" applyNumberFormat="1" applyFill="1" applyBorder="1"/>
    <xf numFmtId="0" fontId="0" fillId="17" borderId="24" xfId="0" applyFill="1" applyBorder="1"/>
    <xf numFmtId="11" fontId="0" fillId="18" borderId="4" xfId="0" applyNumberFormat="1" applyFill="1" applyBorder="1"/>
    <xf numFmtId="0" fontId="0" fillId="18" borderId="24" xfId="0" applyFill="1" applyBorder="1"/>
    <xf numFmtId="11" fontId="0" fillId="18" borderId="25" xfId="0" applyNumberFormat="1" applyFill="1" applyBorder="1"/>
    <xf numFmtId="0" fontId="4" fillId="18" borderId="16" xfId="0" applyFont="1" applyFill="1" applyBorder="1"/>
    <xf numFmtId="0" fontId="4" fillId="18" borderId="17" xfId="0" applyFont="1" applyFill="1" applyBorder="1"/>
    <xf numFmtId="0" fontId="4" fillId="17" borderId="16" xfId="0" applyFont="1" applyFill="1" applyBorder="1"/>
    <xf numFmtId="0" fontId="4" fillId="17" borderId="17" xfId="0" applyFont="1" applyFill="1" applyBorder="1"/>
    <xf numFmtId="0" fontId="4" fillId="16" borderId="18" xfId="0" applyFont="1" applyFill="1" applyBorder="1"/>
    <xf numFmtId="0" fontId="4" fillId="16" borderId="19" xfId="0" applyFont="1" applyFill="1" applyBorder="1"/>
    <xf numFmtId="0" fontId="4" fillId="1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19</xdr:row>
          <xdr:rowOff>85725</xdr:rowOff>
        </xdr:from>
        <xdr:to>
          <xdr:col>8</xdr:col>
          <xdr:colOff>323850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solution procedure for increasing nm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704850</xdr:colOff>
          <xdr:row>29</xdr:row>
          <xdr:rowOff>57150</xdr:rowOff>
        </xdr:from>
        <xdr:to>
          <xdr:col>24</xdr:col>
          <xdr:colOff>647700</xdr:colOff>
          <xdr:row>32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 in line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704850</xdr:colOff>
          <xdr:row>37</xdr:row>
          <xdr:rowOff>57150</xdr:rowOff>
        </xdr:from>
        <xdr:to>
          <xdr:col>24</xdr:col>
          <xdr:colOff>647700</xdr:colOff>
          <xdr:row>40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 in line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676275</xdr:colOff>
          <xdr:row>53</xdr:row>
          <xdr:rowOff>38100</xdr:rowOff>
        </xdr:from>
        <xdr:to>
          <xdr:col>24</xdr:col>
          <xdr:colOff>619125</xdr:colOff>
          <xdr:row>56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 in line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685800</xdr:colOff>
          <xdr:row>33</xdr:row>
          <xdr:rowOff>28575</xdr:rowOff>
        </xdr:from>
        <xdr:to>
          <xdr:col>24</xdr:col>
          <xdr:colOff>628650</xdr:colOff>
          <xdr:row>36</xdr:row>
          <xdr:rowOff>85725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 in line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676275</xdr:colOff>
          <xdr:row>49</xdr:row>
          <xdr:rowOff>76200</xdr:rowOff>
        </xdr:from>
        <xdr:to>
          <xdr:col>24</xdr:col>
          <xdr:colOff>619125</xdr:colOff>
          <xdr:row>52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 in line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695325</xdr:colOff>
          <xdr:row>25</xdr:row>
          <xdr:rowOff>114300</xdr:rowOff>
        </xdr:from>
        <xdr:to>
          <xdr:col>24</xdr:col>
          <xdr:colOff>628650</xdr:colOff>
          <xdr:row>28</xdr:row>
          <xdr:rowOff>171450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 in line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666750</xdr:colOff>
          <xdr:row>45</xdr:row>
          <xdr:rowOff>76200</xdr:rowOff>
        </xdr:from>
        <xdr:to>
          <xdr:col>24</xdr:col>
          <xdr:colOff>600075</xdr:colOff>
          <xdr:row>48</xdr:row>
          <xdr:rowOff>133350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 in line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695325</xdr:colOff>
          <xdr:row>41</xdr:row>
          <xdr:rowOff>85725</xdr:rowOff>
        </xdr:from>
        <xdr:to>
          <xdr:col>24</xdr:col>
          <xdr:colOff>638175</xdr:colOff>
          <xdr:row>44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paste in line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390525</xdr:colOff>
          <xdr:row>18</xdr:row>
          <xdr:rowOff>85725</xdr:rowOff>
        </xdr:from>
        <xdr:to>
          <xdr:col>26</xdr:col>
          <xdr:colOff>657225</xdr:colOff>
          <xdr:row>24</xdr:row>
          <xdr:rowOff>85725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5C4-38D1-48CD-8517-6C8A2432AC43}">
  <sheetPr codeName="Sheet1"/>
  <dimension ref="A1:ES134"/>
  <sheetViews>
    <sheetView topLeftCell="A22" zoomScale="70" zoomScaleNormal="70" workbookViewId="0">
      <selection activeCell="C48" sqref="C48"/>
    </sheetView>
  </sheetViews>
  <sheetFormatPr defaultColWidth="9.140625" defaultRowHeight="15" x14ac:dyDescent="0.25"/>
  <cols>
    <col min="1" max="1" width="34.28515625" customWidth="1"/>
    <col min="2" max="2" width="37.5703125" customWidth="1"/>
    <col min="3" max="3" width="12.42578125" bestFit="1" customWidth="1"/>
    <col min="4" max="4" width="39.7109375" customWidth="1"/>
    <col min="5" max="5" width="38.5703125" customWidth="1"/>
    <col min="6" max="6" width="10.42578125" bestFit="1" customWidth="1"/>
    <col min="7" max="7" width="11.28515625" bestFit="1" customWidth="1"/>
    <col min="8" max="8" width="16.5703125" bestFit="1" customWidth="1"/>
    <col min="9" max="9" width="15.5703125" customWidth="1"/>
    <col min="10" max="13" width="11.28515625" bestFit="1" customWidth="1"/>
    <col min="15" max="15" width="9.28515625" bestFit="1" customWidth="1"/>
    <col min="48" max="48" width="27.42578125" customWidth="1"/>
    <col min="49" max="49" width="21.7109375" customWidth="1"/>
    <col min="50" max="50" width="21.42578125" customWidth="1"/>
    <col min="51" max="51" width="20.85546875" customWidth="1"/>
    <col min="52" max="52" width="20.140625" customWidth="1"/>
    <col min="53" max="53" width="19.5703125" customWidth="1"/>
    <col min="54" max="54" width="33.140625" customWidth="1"/>
    <col min="55" max="55" width="26.85546875" customWidth="1"/>
    <col min="66" max="66" width="12.7109375" bestFit="1" customWidth="1"/>
    <col min="67" max="67" width="11.7109375" bestFit="1" customWidth="1"/>
    <col min="68" max="68" width="12.7109375" bestFit="1" customWidth="1"/>
    <col min="69" max="69" width="29.85546875" customWidth="1"/>
    <col min="86" max="86" width="28" customWidth="1"/>
    <col min="99" max="99" width="9.7109375" bestFit="1" customWidth="1"/>
    <col min="116" max="116" width="24.5703125" customWidth="1"/>
    <col min="117" max="117" width="19.7109375" customWidth="1"/>
    <col min="118" max="118" width="19.28515625" customWidth="1"/>
    <col min="119" max="119" width="21.7109375" customWidth="1"/>
    <col min="120" max="120" width="23" customWidth="1"/>
    <col min="121" max="121" width="15.42578125" customWidth="1"/>
    <col min="122" max="122" width="34.28515625" customWidth="1"/>
    <col min="123" max="123" width="25.5703125" customWidth="1"/>
  </cols>
  <sheetData>
    <row r="1" spans="1:149" x14ac:dyDescent="0.25">
      <c r="A1" s="11" t="s">
        <v>22</v>
      </c>
      <c r="B1" s="12"/>
      <c r="O1" s="22" t="s">
        <v>23</v>
      </c>
      <c r="P1" s="6" t="s">
        <v>63</v>
      </c>
      <c r="Q1" s="8"/>
      <c r="R1" s="9" t="s">
        <v>30</v>
      </c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4"/>
      <c r="AH1" s="8" t="s">
        <v>33</v>
      </c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9" t="s">
        <v>32</v>
      </c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4"/>
      <c r="BN1" s="6" t="s">
        <v>51</v>
      </c>
      <c r="BO1" s="8"/>
      <c r="BP1" s="8"/>
      <c r="BQ1" s="8"/>
      <c r="BR1" s="9" t="s">
        <v>31</v>
      </c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39" t="s">
        <v>82</v>
      </c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1"/>
      <c r="CT1" s="39" t="s">
        <v>84</v>
      </c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1"/>
      <c r="DF1" s="8" t="s">
        <v>38</v>
      </c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7"/>
      <c r="DV1" s="10" t="s">
        <v>39</v>
      </c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4"/>
      <c r="EL1" s="6" t="s">
        <v>52</v>
      </c>
      <c r="EM1" s="8"/>
      <c r="EN1" s="8"/>
      <c r="EO1" s="8"/>
      <c r="EP1" s="8"/>
      <c r="EQ1" s="8"/>
      <c r="ER1" s="8"/>
      <c r="ES1" s="7"/>
    </row>
    <row r="2" spans="1:149" x14ac:dyDescent="0.25">
      <c r="A2" s="13" t="s">
        <v>60</v>
      </c>
      <c r="B2" s="32">
        <f>SUM(ER3:ER102)</f>
        <v>291719837295.42194</v>
      </c>
      <c r="O2" s="22" t="s">
        <v>66</v>
      </c>
      <c r="P2" s="5" t="s">
        <v>64</v>
      </c>
      <c r="Q2" s="5" t="s">
        <v>65</v>
      </c>
      <c r="R2" s="24" t="s">
        <v>24</v>
      </c>
      <c r="S2" s="25" t="s">
        <v>25</v>
      </c>
      <c r="T2" s="25" t="s">
        <v>26</v>
      </c>
      <c r="U2" s="25" t="s">
        <v>27</v>
      </c>
      <c r="V2" s="25" t="s">
        <v>67</v>
      </c>
      <c r="W2" s="25" t="s">
        <v>68</v>
      </c>
      <c r="X2" s="25" t="s">
        <v>69</v>
      </c>
      <c r="Y2" s="25" t="s">
        <v>70</v>
      </c>
      <c r="Z2" s="25" t="s">
        <v>71</v>
      </c>
      <c r="AA2" s="25" t="s">
        <v>72</v>
      </c>
      <c r="AB2" s="25" t="s">
        <v>73</v>
      </c>
      <c r="AC2" s="25" t="s">
        <v>74</v>
      </c>
      <c r="AD2" s="25" t="s">
        <v>28</v>
      </c>
      <c r="AE2" s="25" t="s">
        <v>29</v>
      </c>
      <c r="AF2" s="25" t="s">
        <v>75</v>
      </c>
      <c r="AG2" s="25" t="s">
        <v>76</v>
      </c>
      <c r="AH2" s="5" t="s">
        <v>24</v>
      </c>
      <c r="AI2" s="5" t="s">
        <v>25</v>
      </c>
      <c r="AJ2" s="5" t="s">
        <v>26</v>
      </c>
      <c r="AK2" s="5" t="s">
        <v>27</v>
      </c>
      <c r="AL2" s="5" t="s">
        <v>67</v>
      </c>
      <c r="AM2" s="5" t="s">
        <v>68</v>
      </c>
      <c r="AN2" s="5" t="s">
        <v>69</v>
      </c>
      <c r="AO2" s="5" t="s">
        <v>70</v>
      </c>
      <c r="AP2" s="5" t="s">
        <v>71</v>
      </c>
      <c r="AQ2" s="5" t="s">
        <v>72</v>
      </c>
      <c r="AR2" s="5" t="s">
        <v>73</v>
      </c>
      <c r="AS2" s="5" t="s">
        <v>74</v>
      </c>
      <c r="AT2" s="5" t="s">
        <v>28</v>
      </c>
      <c r="AU2" s="5" t="s">
        <v>29</v>
      </c>
      <c r="AV2" s="5" t="s">
        <v>75</v>
      </c>
      <c r="AW2" s="5" t="s">
        <v>76</v>
      </c>
      <c r="AX2" s="25" t="s">
        <v>24</v>
      </c>
      <c r="AY2" s="25" t="s">
        <v>25</v>
      </c>
      <c r="AZ2" s="25" t="s">
        <v>26</v>
      </c>
      <c r="BA2" s="25" t="s">
        <v>27</v>
      </c>
      <c r="BB2" s="25" t="s">
        <v>67</v>
      </c>
      <c r="BC2" s="25" t="s">
        <v>68</v>
      </c>
      <c r="BD2" s="25" t="s">
        <v>69</v>
      </c>
      <c r="BE2" s="25" t="s">
        <v>70</v>
      </c>
      <c r="BF2" s="25" t="s">
        <v>71</v>
      </c>
      <c r="BG2" s="25" t="s">
        <v>72</v>
      </c>
      <c r="BH2" s="25" t="s">
        <v>73</v>
      </c>
      <c r="BI2" s="25" t="s">
        <v>74</v>
      </c>
      <c r="BJ2" s="25" t="s">
        <v>28</v>
      </c>
      <c r="BK2" s="25" t="s">
        <v>29</v>
      </c>
      <c r="BL2" s="25" t="s">
        <v>75</v>
      </c>
      <c r="BM2" s="25" t="s">
        <v>76</v>
      </c>
      <c r="BN2" s="2" t="s">
        <v>34</v>
      </c>
      <c r="BO2" s="2" t="s">
        <v>35</v>
      </c>
      <c r="BP2" s="2" t="s">
        <v>36</v>
      </c>
      <c r="BQ2" s="2" t="s">
        <v>37</v>
      </c>
      <c r="BR2" s="25" t="s">
        <v>24</v>
      </c>
      <c r="BS2" s="25" t="s">
        <v>25</v>
      </c>
      <c r="BT2" s="25" t="s">
        <v>26</v>
      </c>
      <c r="BU2" s="25" t="s">
        <v>27</v>
      </c>
      <c r="BV2" s="25" t="s">
        <v>67</v>
      </c>
      <c r="BW2" s="25" t="s">
        <v>68</v>
      </c>
      <c r="BX2" s="25" t="s">
        <v>69</v>
      </c>
      <c r="BY2" s="25" t="s">
        <v>70</v>
      </c>
      <c r="BZ2" s="25" t="s">
        <v>71</v>
      </c>
      <c r="CA2" s="25" t="s">
        <v>72</v>
      </c>
      <c r="CB2" s="25" t="s">
        <v>73</v>
      </c>
      <c r="CC2" s="25" t="s">
        <v>74</v>
      </c>
      <c r="CD2" s="25" t="s">
        <v>28</v>
      </c>
      <c r="CE2" s="25" t="s">
        <v>29</v>
      </c>
      <c r="CF2" s="25" t="s">
        <v>75</v>
      </c>
      <c r="CG2" s="37" t="s">
        <v>76</v>
      </c>
      <c r="CH2" s="38" t="s">
        <v>24</v>
      </c>
      <c r="CI2" s="38" t="s">
        <v>25</v>
      </c>
      <c r="CJ2" s="38" t="s">
        <v>26</v>
      </c>
      <c r="CK2" s="38" t="s">
        <v>27</v>
      </c>
      <c r="CL2" s="38" t="s">
        <v>67</v>
      </c>
      <c r="CM2" s="38" t="s">
        <v>68</v>
      </c>
      <c r="CN2" s="38" t="s">
        <v>69</v>
      </c>
      <c r="CO2" s="38" t="s">
        <v>70</v>
      </c>
      <c r="CP2" s="38" t="s">
        <v>71</v>
      </c>
      <c r="CQ2" s="38" t="s">
        <v>72</v>
      </c>
      <c r="CR2" s="38" t="s">
        <v>73</v>
      </c>
      <c r="CS2" s="38" t="s">
        <v>74</v>
      </c>
      <c r="CT2" s="38" t="s">
        <v>24</v>
      </c>
      <c r="CU2" s="38" t="s">
        <v>25</v>
      </c>
      <c r="CV2" s="38" t="s">
        <v>26</v>
      </c>
      <c r="CW2" s="38" t="s">
        <v>27</v>
      </c>
      <c r="CX2" s="38" t="s">
        <v>67</v>
      </c>
      <c r="CY2" s="38" t="s">
        <v>68</v>
      </c>
      <c r="CZ2" s="38" t="s">
        <v>69</v>
      </c>
      <c r="DA2" s="38" t="s">
        <v>70</v>
      </c>
      <c r="DB2" s="38" t="s">
        <v>71</v>
      </c>
      <c r="DC2" s="38" t="s">
        <v>72</v>
      </c>
      <c r="DD2" s="38" t="s">
        <v>73</v>
      </c>
      <c r="DE2" s="38" t="s">
        <v>74</v>
      </c>
      <c r="DF2" s="5" t="s">
        <v>24</v>
      </c>
      <c r="DG2" s="5" t="s">
        <v>25</v>
      </c>
      <c r="DH2" s="5" t="s">
        <v>26</v>
      </c>
      <c r="DI2" s="5" t="s">
        <v>27</v>
      </c>
      <c r="DJ2" s="5" t="s">
        <v>67</v>
      </c>
      <c r="DK2" s="5" t="s">
        <v>68</v>
      </c>
      <c r="DL2" s="5" t="s">
        <v>69</v>
      </c>
      <c r="DM2" s="5" t="s">
        <v>70</v>
      </c>
      <c r="DN2" s="5" t="s">
        <v>71</v>
      </c>
      <c r="DO2" s="5" t="s">
        <v>72</v>
      </c>
      <c r="DP2" s="5" t="s">
        <v>73</v>
      </c>
      <c r="DQ2" s="5" t="s">
        <v>74</v>
      </c>
      <c r="DR2" s="5" t="s">
        <v>28</v>
      </c>
      <c r="DS2" s="5" t="s">
        <v>29</v>
      </c>
      <c r="DT2" s="5" t="s">
        <v>75</v>
      </c>
      <c r="DU2" s="5" t="s">
        <v>76</v>
      </c>
      <c r="DV2" s="25" t="s">
        <v>24</v>
      </c>
      <c r="DW2" s="25" t="s">
        <v>25</v>
      </c>
      <c r="DX2" s="25" t="s">
        <v>26</v>
      </c>
      <c r="DY2" s="25" t="s">
        <v>27</v>
      </c>
      <c r="DZ2" s="25" t="s">
        <v>67</v>
      </c>
      <c r="EA2" s="25" t="s">
        <v>68</v>
      </c>
      <c r="EB2" s="25" t="s">
        <v>69</v>
      </c>
      <c r="EC2" s="25" t="s">
        <v>70</v>
      </c>
      <c r="ED2" s="25" t="s">
        <v>71</v>
      </c>
      <c r="EE2" s="25" t="s">
        <v>72</v>
      </c>
      <c r="EF2" s="25" t="s">
        <v>73</v>
      </c>
      <c r="EG2" s="25" t="s">
        <v>74</v>
      </c>
      <c r="EH2" s="25" t="s">
        <v>28</v>
      </c>
      <c r="EI2" s="25" t="s">
        <v>29</v>
      </c>
      <c r="EJ2" s="25" t="s">
        <v>75</v>
      </c>
      <c r="EK2" s="25" t="s">
        <v>76</v>
      </c>
      <c r="EL2" s="2" t="s">
        <v>40</v>
      </c>
      <c r="EM2" s="2" t="s">
        <v>41</v>
      </c>
      <c r="EN2" s="2" t="s">
        <v>42</v>
      </c>
      <c r="EO2" s="2" t="s">
        <v>43</v>
      </c>
      <c r="EP2" s="2" t="s">
        <v>45</v>
      </c>
      <c r="EQ2" s="2" t="s">
        <v>46</v>
      </c>
      <c r="ER2" s="2" t="s">
        <v>47</v>
      </c>
      <c r="ES2" s="2" t="s">
        <v>48</v>
      </c>
    </row>
    <row r="3" spans="1:149" x14ac:dyDescent="0.25">
      <c r="A3" s="13" t="s">
        <v>61</v>
      </c>
      <c r="B3" s="32">
        <f>SUM(ES3:ES102)</f>
        <v>94655498660.968292</v>
      </c>
      <c r="O3" s="3">
        <v>1</v>
      </c>
      <c r="P3" s="21">
        <v>450507.28597265156</v>
      </c>
      <c r="Q3" s="21">
        <v>419815.18888336571</v>
      </c>
      <c r="R3" s="13">
        <v>705521.49303852522</v>
      </c>
      <c r="S3" s="13">
        <v>522663.17712550919</v>
      </c>
      <c r="T3" s="13">
        <v>407050.49162793497</v>
      </c>
      <c r="U3" s="13">
        <v>333264.75555130193</v>
      </c>
      <c r="V3" s="13">
        <v>272854.10428686684</v>
      </c>
      <c r="W3" s="13">
        <v>223394.04628320463</v>
      </c>
      <c r="X3" s="13">
        <v>182899.57574658564</v>
      </c>
      <c r="Y3" s="13">
        <v>106845.08651699856</v>
      </c>
      <c r="Z3" s="13">
        <v>44534.559953434866</v>
      </c>
      <c r="AA3" s="13">
        <v>18562.641436305508</v>
      </c>
      <c r="AB3" s="13">
        <v>7737.1743978862378</v>
      </c>
      <c r="AC3" s="13">
        <v>6754.248368093884</v>
      </c>
      <c r="AD3" s="27">
        <v>48443981.648057573</v>
      </c>
      <c r="AE3" s="27">
        <v>36403434.826795377</v>
      </c>
      <c r="AF3" s="27">
        <v>23617938.207698323</v>
      </c>
      <c r="AG3" s="27">
        <v>30076297.228000067</v>
      </c>
      <c r="AH3" s="21">
        <f t="shared" ref="AH3:AH34" si="0">R3*B$32</f>
        <v>0</v>
      </c>
      <c r="AI3" s="21">
        <f t="shared" ref="AI3:AI34" si="1">S3*C$32</f>
        <v>1567.9895313765276</v>
      </c>
      <c r="AJ3" s="21">
        <f t="shared" ref="AJ3:AJ34" si="2">T3*D$32</f>
        <v>20138.287480539944</v>
      </c>
      <c r="AK3" s="21">
        <f t="shared" ref="AK3:AK34" si="3">U3*E$32</f>
        <v>91139.140518134969</v>
      </c>
      <c r="AL3" s="21">
        <f t="shared" ref="AL3:AL34" si="4">V3*F$32</f>
        <v>157767.11524713263</v>
      </c>
      <c r="AM3" s="21">
        <f t="shared" ref="AM3:AM34" si="5">W3*G$32</f>
        <v>180996.20781492905</v>
      </c>
      <c r="AN3" s="21">
        <f t="shared" ref="AN3:AN34" si="6">X3*H$32</f>
        <v>171328.77100724902</v>
      </c>
      <c r="AO3" s="21">
        <f t="shared" ref="AO3:AO34" si="7">Y3*I$32</f>
        <v>105186.175963182</v>
      </c>
      <c r="AP3" s="21">
        <f t="shared" ref="AP3:AP34" si="8">Z3*J$32</f>
        <v>44293.135760003082</v>
      </c>
      <c r="AQ3" s="21">
        <f t="shared" ref="AQ3:AQ34" si="9">AA3*K$32</f>
        <v>18506.953511996595</v>
      </c>
      <c r="AR3" s="21">
        <f t="shared" ref="AR3:AR34" si="10">AB3*L$32</f>
        <v>7737.1743978862378</v>
      </c>
      <c r="AS3" s="21">
        <f t="shared" ref="AS3:AS34" si="11">AC3*M$32</f>
        <v>6754.248368093884</v>
      </c>
      <c r="AT3" s="21">
        <f t="shared" ref="AT3:AT34" si="12">AD3*B$44</f>
        <v>0</v>
      </c>
      <c r="AU3" s="21">
        <f t="shared" ref="AU3:AU34" si="13">AE3*C$44</f>
        <v>18201717.413397688</v>
      </c>
      <c r="AV3" s="21">
        <f t="shared" ref="AV3:AV34" si="14">AF3*D$44</f>
        <v>23617938.207698323</v>
      </c>
      <c r="AW3" s="21">
        <f t="shared" ref="AW3:AW34" si="15">AG3*E$44</f>
        <v>30076297.228000067</v>
      </c>
      <c r="AX3" s="13">
        <v>0.2</v>
      </c>
      <c r="AY3" s="13">
        <v>0.6</v>
      </c>
      <c r="AZ3" s="13">
        <v>1.2658</v>
      </c>
      <c r="BA3" s="13">
        <v>2.1425660740657708</v>
      </c>
      <c r="BB3" s="13">
        <v>3.2765542914487287</v>
      </c>
      <c r="BC3" s="13">
        <v>4.7379016105941565</v>
      </c>
      <c r="BD3" s="13">
        <v>6.591213947859127</v>
      </c>
      <c r="BE3" s="13">
        <v>8.9139790411243194</v>
      </c>
      <c r="BF3" s="13">
        <v>10.770649511062327</v>
      </c>
      <c r="BG3" s="13">
        <v>12.82483138349617</v>
      </c>
      <c r="BH3" s="13">
        <v>14.5149350801211</v>
      </c>
      <c r="BI3" s="13">
        <v>15.978534443495169</v>
      </c>
      <c r="BJ3" s="13">
        <f t="shared" ref="BJ3:BJ34" si="16">B$46+B$47*SUM($AH3:$AK3)/SUM($AT3:$AU3)</f>
        <v>4.0000000000000001E-3</v>
      </c>
      <c r="BK3" s="13">
        <f t="shared" ref="BK3:BK34" si="17">C$46+C$47*SUM($AH3:$AK3)/SUM($AT3:$AU3)</f>
        <v>0.01</v>
      </c>
      <c r="BL3" s="13">
        <f t="shared" ref="BL3:BL34" si="18">D$46+D$47*SUM($AH3:$AK3)/SUM($AT3:$AU3)</f>
        <v>0.02</v>
      </c>
      <c r="BM3" s="13">
        <f t="shared" ref="BM3:BM34" si="19">E$46+E$47*SUM($AH3:$AK3)/SUM($AT3:$AU3)</f>
        <v>0.03</v>
      </c>
      <c r="BN3" s="30">
        <f>SUMPRODUCT(R3:AC3,AX3:BI3)</f>
        <v>6732330.3278317768</v>
      </c>
      <c r="BO3" s="30">
        <f>SUMPRODUCT(AD3:AG3,BJ3:BM3)</f>
        <v>1932457.9558541523</v>
      </c>
      <c r="BP3" s="30">
        <f>SUMPRODUCT(AH3:AS3,AX3:BI3)</f>
        <v>4597712.138128846</v>
      </c>
      <c r="BQ3" s="30">
        <f>SUMPRODUCT(AT3:AW3,BJ3:BM3)</f>
        <v>1556664.8551279453</v>
      </c>
      <c r="BR3" s="36">
        <f t="shared" ref="BR3:BR34" si="20">B$33</f>
        <v>0.3</v>
      </c>
      <c r="BS3" s="36">
        <f t="shared" ref="BS3:BS34" si="21">C$33</f>
        <v>0.25</v>
      </c>
      <c r="BT3" s="36">
        <f t="shared" ref="BT3:BT34" si="22">D$33</f>
        <v>0.2</v>
      </c>
      <c r="BU3" s="36">
        <f t="shared" ref="BU3:BU34" si="23">E$33</f>
        <v>0.2</v>
      </c>
      <c r="BV3" s="36">
        <f t="shared" ref="BV3:BV34" si="24">F$33</f>
        <v>0.2</v>
      </c>
      <c r="BW3" s="36">
        <f t="shared" ref="BW3:BW34" si="25">G$33</f>
        <v>0.2</v>
      </c>
      <c r="BX3" s="36">
        <f t="shared" ref="BX3:BX34" si="26">H$33</f>
        <v>0.2</v>
      </c>
      <c r="BY3" s="36">
        <f t="shared" ref="BY3:BY34" si="27">I$33</f>
        <v>0.2</v>
      </c>
      <c r="BZ3" s="36">
        <f t="shared" ref="BZ3:BZ34" si="28">J$33</f>
        <v>0.2</v>
      </c>
      <c r="CA3" s="36">
        <f t="shared" ref="CA3:CA34" si="29">K$33</f>
        <v>0.2</v>
      </c>
      <c r="CB3" s="36">
        <f t="shared" ref="CB3:CB34" si="30">L$33</f>
        <v>0.2</v>
      </c>
      <c r="CC3" s="36">
        <f t="shared" ref="CC3:CC34" si="31">M$33</f>
        <v>0.2</v>
      </c>
      <c r="CD3" s="35">
        <f t="shared" ref="CD3:CD34" si="32">B$45+SUMPRODUCT($B$38:$M$38,$R3:$AC3)</f>
        <v>0.46381601211659401</v>
      </c>
      <c r="CE3" s="35">
        <f t="shared" ref="CE3:CE34" si="33">C$45+SUMPRODUCT($B$38:$M$38,$R3:$AC3)</f>
        <v>0.46381601211659401</v>
      </c>
      <c r="CF3" s="35">
        <f t="shared" ref="CF3:CF34" si="34">D$45+SUMPRODUCT($B$38:$M$38,$R3:$AC3)</f>
        <v>0.46381601211659401</v>
      </c>
      <c r="CG3" s="35">
        <f t="shared" ref="CG3:CG34" si="35">E$45+SUMPRODUCT($B$38:$M$38,$R3:$AC3)</f>
        <v>0.46381601211659401</v>
      </c>
      <c r="CH3" s="28">
        <f t="shared" ref="CH3:CH34" si="36">B$38*R3/($CD3+$Q3*$B$43)*$AD3*(1-EXP(-($CD3+$Q3*$B$43)))*$BJ3+B$39*R3/($CE3+$Q3*$C$43)*$AE3*(1-EXP(-($CE3+$Q3*$C$43)))*$BK3+B$40*R3/($CF3+$Q3*$D$43)*$AF3*(1-EXP(-($CF3+$Q3*$D$43)))*$BL3+B$41*R3/($CG3+$Q3*$E$43)*$AG3*(1-EXP(-($CG3+$Q3*$E$43)))*$BM3</f>
        <v>0</v>
      </c>
      <c r="CI3" s="28">
        <f t="shared" ref="CI3:CI34" si="37">C$38*S3/($CD3+$Q3*$B$43)*$AD3*(1-EXP(-($CD3+$Q3*$B$43)))*$BJ3+C$39*S3/($CE3+$Q3*$C$43)*$AE3*(1-EXP(-($CE3+$Q3*$C$43)))*$BK3+C$40*S3/($CF3+$Q3*$D$43)*$AF3*(1-EXP(-($CF3+$Q3*$D$43)))*$BL3+C$41*S3/($CG3+$Q3*$E$43)*$AG3*(1-EXP(-($CG3+$Q3*$E$43)))*$BM3</f>
        <v>0</v>
      </c>
      <c r="CJ3" s="28">
        <f t="shared" ref="CJ3:CJ34" si="38">D$38*T3/($CD3+$Q3*$B$43)*$AD3*(1-EXP(-($CD3+$Q3*$B$43)))*$BJ3+D$39*T3/($CE3+$Q3*$C$43)*$AE3*(1-EXP(-($CE3+$Q3*$C$43)))*$BK3+D$40*T3/($CF3+$Q3*$D$43)*$AF3*(1-EXP(-($CF3+$Q3*$D$43)))*$BL3+D$41*T3/($CG3+$Q3*$E$43)*$AG3*(1-EXP(-($CG3+$Q3*$E$43)))*$BM3</f>
        <v>21698.490046658626</v>
      </c>
      <c r="CK3" s="28">
        <f t="shared" ref="CK3:CK34" si="39">E$38*U3/($CD3+$Q3*$B$43)*$AD3*(1-EXP(-($CD3+$Q3*$B$43)))*$BJ3+E$39*U3/($CE3+$Q3*$C$43)*$AE3*(1-EXP(-($CE3+$Q3*$C$43)))*$BK3+E$40*U3/($CF3+$Q3*$D$43)*$AF3*(1-EXP(-($CF3+$Q3*$D$43)))*$BL3+E$41*U3/($CG3+$Q3*$E$43)*$AG3*(1-EXP(-($CG3+$Q3*$E$43)))*$BM3</f>
        <v>32868.044940768123</v>
      </c>
      <c r="CL3" s="28">
        <f t="shared" ref="CL3:CL34" si="40">F$38*V3/($CD3+$Q3*$B$43)*$AD3*(1-EXP(-($CD3+$Q3*$B$43)))*$BJ3+F$39*V3/($CE3+$Q3*$C$43)*$AE3*(1-EXP(-($CE3+$Q3*$C$43)))*$BK3+F$40*V3/($CF3+$Q3*$D$43)*$AF3*(1-EXP(-($CF3+$Q3*$D$43)))*$BL3+F$41*V3/($CG3+$Q3*$E$43)*$AG3*(1-EXP(-($CG3+$Q3*$E$43)))*$BM3</f>
        <v>44750.316064075618</v>
      </c>
      <c r="CM3" s="28">
        <f t="shared" ref="CM3:CM34" si="41">G$38*W3/($CD3+$Q3*$B$43)*$AD3*(1-EXP(-($CD3+$Q3*$B$43)))*$BJ3+G$39*W3/($CE3+$Q3*$C$43)*$AE3*(1-EXP(-($CE3+$Q3*$C$43)))*$BK3+G$40*W3/($CF3+$Q3*$D$43)*$AF3*(1-EXP(-($CF3+$Q3*$D$43)))*$BL3+G$41*W3/($CG3+$Q3*$E$43)*$AG3*(1-EXP(-($CG3+$Q3*$E$43)))*$BM3</f>
        <v>57285.930460338321</v>
      </c>
      <c r="CN3" s="28">
        <f t="shared" ref="CN3:CN34" si="42">H$38*X3/($CD3+$Q3*$B$43)*$AD3*(1-EXP(-($CD3+$Q3*$B$43)))*$BJ3+H$39*X3/($CE3+$Q3*$C$43)*$AE3*(1-EXP(-($CE3+$Q3*$C$43)))*$BK3+H$40*X3/($CF3+$Q3*$D$43)*$AF3*(1-EXP(-($CF3+$Q3*$D$43)))*$BL3+H$41*X3/($CG3+$Q3*$E$43)*$AG3*(1-EXP(-($CG3+$Q3*$E$43)))*$BM3</f>
        <v>70178.554130460034</v>
      </c>
      <c r="CO3" s="28">
        <f t="shared" ref="CO3:CO34" si="43">I$38*Y3/($CD3+$Q3*$B$43)*$AD3*(1-EXP(-($CD3+$Q3*$B$43)))*$BJ3+I$39*Y3/($CE3+$Q3*$C$43)*$AE3*(1-EXP(-($CE3+$Q3*$C$43)))*$BK3+I$40*Y3/($CF3+$Q3*$D$43)*$AF3*(1-EXP(-($CF3+$Q3*$D$43)))*$BL3+I$41*Y3/($CG3+$Q3*$E$43)*$AG3*(1-EXP(-($CG3+$Q3*$E$43)))*$BM3</f>
        <v>59351.084507743617</v>
      </c>
      <c r="CP3" s="28">
        <f t="shared" ref="CP3:CP34" si="44">J$38*Z3/($CD3+$Q3*$B$43)*$AD3*(1-EXP(-($CD3+$Q3*$B$43)))*$BJ3+J$39*Z3/($CE3+$Q3*$C$43)*$AE3*(1-EXP(-($CE3+$Q3*$C$43)))*$BK3+J$40*Z3/($CF3+$Q3*$D$43)*$AF3*(1-EXP(-($CF3+$Q3*$D$43)))*$BL3+J$41*Z3/($CG3+$Q3*$E$43)*$AG3*(1-EXP(-($CG3+$Q3*$E$43)))*$BM3</f>
        <v>31819.307124898653</v>
      </c>
      <c r="CQ3" s="28">
        <f t="shared" ref="CQ3:CQ34" si="45">K$38*AA3/($CD3+$Q3*$B$43)*$AD3*(1-EXP(-($CD3+$Q3*$B$43)))*$BJ3+K$39*AA3/($CE3+$Q3*$C$43)*$AE3*(1-EXP(-($CE3+$Q3*$C$43)))*$BK3+K$40*AA3/($CF3+$Q3*$D$43)*$AF3*(1-EXP(-($CF3+$Q3*$D$43)))*$BL3+K$41*AA3/($CG3+$Q3*$E$43)*$AG3*(1-EXP(-($CG3+$Q3*$E$43)))*$BM3</f>
        <v>16772.530957753595</v>
      </c>
      <c r="CR3" s="28">
        <f t="shared" ref="CR3:CR34" si="46">L$38*AB3/($CD3+$Q3*$B$43)*$AD3*(1-EXP(-($CD3+$Q3*$B$43)))*$BJ3+L$39*AB3/($CE3+$Q3*$C$43)*$AE3*(1-EXP(-($CE3+$Q3*$C$43)))*$BK3+L$40*AB3/($CF3+$Q3*$D$43)*$AF3*(1-EXP(-($CF3+$Q3*$D$43)))*$BL3+L$41*AB3/($CG3+$Q3*$E$43)*$AG3*(1-EXP(-($CG3+$Q3*$E$43)))*$BM3</f>
        <v>8369.4130645140849</v>
      </c>
      <c r="CS3" s="28">
        <f t="shared" ref="CS3:CS34" si="47">M$38*AC3/($CD3+$Q3*$B$43)*$AD3*(1-EXP(-($CD3+$Q3*$B$43)))*$BJ3+M$39*AC3/($CE3+$Q3*$C$43)*$AE3*(1-EXP(-($CE3+$Q3*$C$43)))*$BK3+M$40*AC3/($CF3+$Q3*$D$43)*$AF3*(1-EXP(-($CF3+$Q3*$D$43)))*$BL3+M$41*AC3/($CG3+$Q3*$E$43)*$AG3*(1-EXP(-($CG3+$Q3*$E$43)))*$BM3</f>
        <v>8484.8939421533833</v>
      </c>
      <c r="CT3" s="44">
        <f>CH3/R3</f>
        <v>0</v>
      </c>
      <c r="CU3" s="44">
        <f t="shared" ref="CU3:DE3" si="48">CI3/S3</f>
        <v>0</v>
      </c>
      <c r="CV3" s="44">
        <f t="shared" si="48"/>
        <v>5.3306630241076229E-2</v>
      </c>
      <c r="CW3" s="44">
        <f t="shared" si="48"/>
        <v>9.8624425155298179E-2</v>
      </c>
      <c r="CX3" s="44">
        <f t="shared" si="48"/>
        <v>0.16400822036756718</v>
      </c>
      <c r="CY3" s="44">
        <f t="shared" si="48"/>
        <v>0.25643445478271565</v>
      </c>
      <c r="CZ3" s="44">
        <f t="shared" si="48"/>
        <v>0.38369992846618245</v>
      </c>
      <c r="DA3" s="44">
        <f t="shared" si="48"/>
        <v>0.55548726144090055</v>
      </c>
      <c r="DB3" s="44">
        <f t="shared" si="48"/>
        <v>0.714485719813304</v>
      </c>
      <c r="DC3" s="44">
        <f t="shared" si="48"/>
        <v>0.90356380665465275</v>
      </c>
      <c r="DD3" s="44">
        <f t="shared" si="48"/>
        <v>1.0817144133135441</v>
      </c>
      <c r="DE3" s="44">
        <f t="shared" si="48"/>
        <v>1.2562306684241618</v>
      </c>
      <c r="DF3" s="31">
        <f t="shared" ref="DF3:DF34" si="49">$P3*B$31/($P3*B$31+BR3)*R3*(1-EXP(-($P3*B$31+BR3)))</f>
        <v>0</v>
      </c>
      <c r="DG3" s="21">
        <f t="shared" ref="DG3:DG34" si="50">$P3*C$31/($P3*C$31+BS3)*S3*(1-EXP(-($P3*C$31+BS3)))</f>
        <v>0</v>
      </c>
      <c r="DH3" s="21">
        <f t="shared" ref="DH3:DH34" si="51">$P3*D$31/($P3*D$31+BT3)*T3*(1-EXP(-($P3*D$31+BT3)))</f>
        <v>0</v>
      </c>
      <c r="DI3" s="21">
        <f t="shared" ref="DI3:DI34" si="52">$P3*E$31/($P3*E$31+BU3)*U3*(1-EXP(-($P3*E$31+BU3)))</f>
        <v>0</v>
      </c>
      <c r="DJ3" s="21">
        <f>$P3*F$31/($P3*F$31+BV3)*V3*(1-EXP(-($P3*F$31+BV3)))</f>
        <v>58837.391409875956</v>
      </c>
      <c r="DK3" s="21">
        <f t="shared" ref="DK3:DK34" si="53">$P3*G$31/($P3*G$31+BW3)*W3*(1-EXP(-($P3*G$31+BW3)))</f>
        <v>85312.761489602315</v>
      </c>
      <c r="DL3" s="21">
        <f t="shared" ref="DL3:DL34" si="54">$P3*H$31/($P3*H$31+BX3)*X3*(1-EXP(-($P3*H$31+BX3)))</f>
        <v>69848.181461544358</v>
      </c>
      <c r="DM3" s="21">
        <f t="shared" ref="DM3:DM34" si="55">$P3*I$31/($P3*I$31+BY3)*Y3*(1-EXP(-($P3*I$31+BY3)))</f>
        <v>40803.457093054734</v>
      </c>
      <c r="DN3" s="21">
        <f t="shared" ref="DN3:DN34" si="56">$P3*J$31/($P3*J$31+BZ3)*Z3*(1-EXP(-($P3*J$31+BZ3)))</f>
        <v>17007.46440903439</v>
      </c>
      <c r="DO3" s="21">
        <f t="shared" ref="DO3:DO34" si="57">$P3*K$31/($P3*K$31+CA3)*AA3*(1-EXP(-($P3*K$31+CA3)))</f>
        <v>7088.9543737657023</v>
      </c>
      <c r="DP3" s="21">
        <f t="shared" ref="DP3:DP34" si="58">$P3*L$31/($P3*L$31+CB3)*AB3*(1-EXP(-($P3*L$31+CB3)))</f>
        <v>2954.7775555912508</v>
      </c>
      <c r="DQ3" s="21">
        <f t="shared" ref="DQ3:DQ34" si="59">$P3*M$31/($P3*M$31+CC3)*AC3*(1-EXP(-($P3*M$31+CC3)))</f>
        <v>2579.4043738221658</v>
      </c>
      <c r="DR3" s="21">
        <f t="shared" ref="DR3:DR34" si="60">$Q3*B$43/($Q3*B$43+CD3)*AD3*(1-EXP(-($Q3*B$43+CD3)))</f>
        <v>0</v>
      </c>
      <c r="DS3" s="21">
        <f t="shared" ref="DS3:DS34" si="61">$Q3*C$43/($Q3*C$43+CE3)*AE3*(1-EXP(-($Q3*C$43+CE3)))</f>
        <v>5559760.7563244598</v>
      </c>
      <c r="DT3" s="21">
        <f t="shared" ref="DT3:DT34" si="62">$Q3*D$43/($Q3*D$43+CF3)*AF3*(1-EXP(-($Q3*D$43+CF3)))</f>
        <v>6583553.3966725776</v>
      </c>
      <c r="DU3" s="21">
        <f t="shared" ref="DU3:DU34" si="63">$Q3*E$43/($Q3*E$43+CG3)*AG3*(1-EXP(-($Q3*E$43+CG3)))</f>
        <v>8383835.4996708566</v>
      </c>
      <c r="DV3" s="13">
        <f t="shared" ref="DV3:DV34" si="64">DF3*AX3</f>
        <v>0</v>
      </c>
      <c r="DW3" s="13">
        <f t="shared" ref="DW3:DW34" si="65">DG3*AY3</f>
        <v>0</v>
      </c>
      <c r="DX3" s="13">
        <f t="shared" ref="DX3:DX34" si="66">DH3*AZ3</f>
        <v>0</v>
      </c>
      <c r="DY3" s="13">
        <f t="shared" ref="DY3:DY34" si="67">DI3*BA3</f>
        <v>0</v>
      </c>
      <c r="DZ3" s="13">
        <f t="shared" ref="DZ3:DZ34" si="68">DJ3*BB3</f>
        <v>192783.90732167763</v>
      </c>
      <c r="EA3" s="13">
        <f>DK3*BC3</f>
        <v>404203.47006582195</v>
      </c>
      <c r="EB3" s="13">
        <f t="shared" ref="EB3:EB34" si="69">DL3*BD3</f>
        <v>460384.30788192648</v>
      </c>
      <c r="EC3" s="13">
        <f t="shared" ref="EC3:EC34" si="70">DM3*BE3</f>
        <v>363721.16133290535</v>
      </c>
      <c r="ED3" s="13">
        <f t="shared" ref="ED3:ED34" si="71">DN3*BF3</f>
        <v>183181.43822157619</v>
      </c>
      <c r="EE3" s="13">
        <f t="shared" ref="EE3:EE34" si="72">DO3*BG3</f>
        <v>90914.644528842808</v>
      </c>
      <c r="EF3" s="13">
        <f t="shared" ref="EF3:EF34" si="73">DP3*BH3</f>
        <v>42888.404395605918</v>
      </c>
      <c r="EG3" s="13">
        <f t="shared" ref="EG3:EG34" si="74">DQ3*BI3</f>
        <v>41215.101630819569</v>
      </c>
      <c r="EH3" s="13">
        <f t="shared" ref="EH3:EH34" si="75">DR3*BJ3</f>
        <v>0</v>
      </c>
      <c r="EI3" s="13">
        <f t="shared" ref="EI3:EI34" si="76">DS3*BK3</f>
        <v>55597.607563244601</v>
      </c>
      <c r="EJ3" s="13">
        <f t="shared" ref="EJ3:EJ34" si="77">DT3*BL3</f>
        <v>131671.06793345156</v>
      </c>
      <c r="EK3" s="13">
        <f t="shared" ref="EK3:EK34" si="78">DU3*BM3</f>
        <v>251515.06499012568</v>
      </c>
      <c r="EL3" s="21">
        <f>SUM(DV3:EG3)</f>
        <v>1779292.4353791757</v>
      </c>
      <c r="EM3" s="21">
        <f>SUM(EH3:EK3)</f>
        <v>438783.74048682186</v>
      </c>
      <c r="EN3" s="21">
        <f t="shared" ref="EN3:EN34" si="79">EL3*$B$21</f>
        <v>26689386530.687637</v>
      </c>
      <c r="EO3" s="21">
        <f t="shared" ref="EO3:EO34" si="80">EM3*$B$22</f>
        <v>9872634160.9534912</v>
      </c>
      <c r="EP3" s="21">
        <f t="shared" ref="EP3:EP34" si="81">EN3-$B$23*P3</f>
        <v>24436850100.824379</v>
      </c>
      <c r="EQ3" s="21">
        <f t="shared" ref="EQ3:EQ34" si="82">EO3-$B$24*Q4</f>
        <v>7773558216.5366631</v>
      </c>
      <c r="ER3" s="21">
        <f t="shared" ref="ER3:ER34" si="83">EP3*EXP(-$B$20*($O3-1))</f>
        <v>24436850100.824379</v>
      </c>
      <c r="ES3" s="21">
        <f t="shared" ref="ES3:ES34" si="84">EQ3*EXP(-$B$20*($O3-1))</f>
        <v>7773558216.5366631</v>
      </c>
    </row>
    <row r="4" spans="1:149" x14ac:dyDescent="0.25">
      <c r="A4" s="13" t="s">
        <v>62</v>
      </c>
      <c r="B4" s="32">
        <f>SUM(ER3:ER102)+SUM(ES3:ES102)</f>
        <v>386375335956.39026</v>
      </c>
      <c r="O4" s="3">
        <v>2</v>
      </c>
      <c r="P4" s="21">
        <f>P3</f>
        <v>450507.28597265156</v>
      </c>
      <c r="Q4" s="21">
        <f>Q3</f>
        <v>419815.18888336571</v>
      </c>
      <c r="R4" s="13">
        <v>705521.49303852522</v>
      </c>
      <c r="S4" s="13">
        <f t="shared" ref="S4:S35" si="85">R3*EXP(-($P3*B$31+BR3))</f>
        <v>522663.17712550925</v>
      </c>
      <c r="T4" s="13">
        <f t="shared" ref="T4:T35" si="86">S3*EXP(-($P3*C$31+BS3))</f>
        <v>407050.49162793497</v>
      </c>
      <c r="U4" s="13">
        <f t="shared" ref="U4:U35" si="87">T3*EXP(-($P3*D$31+BT3))</f>
        <v>333264.75555130193</v>
      </c>
      <c r="V4" s="13">
        <f t="shared" ref="V4:V35" si="88">U3*EXP(-($P3*E$31+BU3))</f>
        <v>272854.10428686696</v>
      </c>
      <c r="W4" s="13">
        <f t="shared" ref="W4:W35" si="89">V3*EXP(-($P3*F$31+BV3))</f>
        <v>170482.53615230508</v>
      </c>
      <c r="X4" s="13">
        <f t="shared" ref="X4:X35" si="90">W3*EXP(-($P3*G$31+BW3))</f>
        <v>106519.54534048378</v>
      </c>
      <c r="Y4" s="13">
        <f t="shared" ref="Y4:Y35" si="91">X3*EXP(-($P3*H$31+BX3))</f>
        <v>87210.827574138515</v>
      </c>
      <c r="Z4" s="13">
        <f t="shared" ref="Z4:Z35" si="92">Y3*EXP(-($P3*I$31+BY3))</f>
        <v>50946.254956262914</v>
      </c>
      <c r="AA4" s="13">
        <f t="shared" ref="AA4:AA35" si="93">Z3*EXP(-($P3*J$31+BZ3))</f>
        <v>21235.127601227618</v>
      </c>
      <c r="AB4" s="13">
        <f t="shared" ref="AB4:AB35" si="94">AA3*EXP(-($P3*K$31+CA3))</f>
        <v>8851.1048481883608</v>
      </c>
      <c r="AC4" s="13">
        <f t="shared" ref="AC4:AC35" si="95">AB3*EXP(-($P3*L$31+DR3))+AC3*EXP(-($P3*M$31+CC3))</f>
        <v>7726.6657570800671</v>
      </c>
      <c r="AD4" s="13">
        <f t="shared" ref="AD4:AD35" si="96">$B$28*BQ3/($B$29+BQ3)</f>
        <v>48443981.648057573</v>
      </c>
      <c r="AE4" s="13">
        <f t="shared" ref="AE4:AE35" si="97">AD3*EXP(-($Q3*B$43+CD3))</f>
        <v>30465414.845147006</v>
      </c>
      <c r="AF4" s="13">
        <f t="shared" ref="AF4:AF35" si="98">AE3*EXP(-($Q3*C$43+CE3))</f>
        <v>18558715.685903396</v>
      </c>
      <c r="AG4" s="13">
        <f t="shared" ref="AG4:AG35" si="99">AF3*EXP(-($Q3*D$43+CF3))+AG3*EXP(-($Q3*E$43+CG3))</f>
        <v>22190725.852142565</v>
      </c>
      <c r="AH4" s="21">
        <f t="shared" si="0"/>
        <v>0</v>
      </c>
      <c r="AI4" s="21">
        <f t="shared" si="1"/>
        <v>1567.9895313765278</v>
      </c>
      <c r="AJ4" s="21">
        <f t="shared" si="2"/>
        <v>20138.287480539944</v>
      </c>
      <c r="AK4" s="21">
        <f t="shared" si="3"/>
        <v>91139.140518134969</v>
      </c>
      <c r="AL4" s="21">
        <f t="shared" si="4"/>
        <v>157767.11524713269</v>
      </c>
      <c r="AM4" s="21">
        <f t="shared" si="5"/>
        <v>138126.74534360968</v>
      </c>
      <c r="AN4" s="21">
        <f t="shared" si="6"/>
        <v>99780.782524733178</v>
      </c>
      <c r="AO4" s="21">
        <f t="shared" si="7"/>
        <v>85856.764724961104</v>
      </c>
      <c r="AP4" s="21">
        <f t="shared" si="8"/>
        <v>50670.072626763169</v>
      </c>
      <c r="AQ4" s="21">
        <f t="shared" si="9"/>
        <v>21171.422218423937</v>
      </c>
      <c r="AR4" s="21">
        <f t="shared" si="10"/>
        <v>8851.1048481883608</v>
      </c>
      <c r="AS4" s="21">
        <f t="shared" si="11"/>
        <v>7726.6657570800671</v>
      </c>
      <c r="AT4" s="21">
        <f t="shared" si="12"/>
        <v>0</v>
      </c>
      <c r="AU4" s="21">
        <f t="shared" si="13"/>
        <v>15232707.422573503</v>
      </c>
      <c r="AV4" s="21">
        <f t="shared" si="14"/>
        <v>18558715.685903396</v>
      </c>
      <c r="AW4" s="21">
        <f t="shared" si="15"/>
        <v>22190725.852142565</v>
      </c>
      <c r="AX4" s="13">
        <f t="shared" ref="AX4:AX67" si="100">B$35+B$36*CT4</f>
        <v>0.2</v>
      </c>
      <c r="AY4" s="13">
        <f>AX3+C$35+B$36*CT3</f>
        <v>0.6</v>
      </c>
      <c r="AZ4" s="13">
        <f t="shared" ref="AZ4:BH4" si="101">AY3+D$35+C$36*CU3</f>
        <v>1.2658</v>
      </c>
      <c r="BA4" s="13">
        <f>AZ3+E$35+D$36*CV3</f>
        <v>2.1663146411687535</v>
      </c>
      <c r="BB4" s="13">
        <f t="shared" si="101"/>
        <v>3.3210994619136089</v>
      </c>
      <c r="BC4" s="13">
        <f t="shared" si="101"/>
        <v>4.8069988948545657</v>
      </c>
      <c r="BD4" s="13">
        <f t="shared" si="101"/>
        <v>6.6875544934376867</v>
      </c>
      <c r="BE4" s="13">
        <f t="shared" si="101"/>
        <v>9.0379679178149228</v>
      </c>
      <c r="BF4" s="13">
        <f t="shared" si="101"/>
        <v>10.918499582628634</v>
      </c>
      <c r="BG4" s="13">
        <f t="shared" si="101"/>
        <v>13.038019512996984</v>
      </c>
      <c r="BH4" s="13">
        <f t="shared" si="101"/>
        <v>14.790078715825297</v>
      </c>
      <c r="BI4" s="13">
        <f>BH3+M$35+L$36*DD3</f>
        <v>16.32353512478084</v>
      </c>
      <c r="BJ4" s="13">
        <f t="shared" si="16"/>
        <v>4.0000000000000001E-3</v>
      </c>
      <c r="BK4" s="13">
        <f t="shared" si="17"/>
        <v>0.01</v>
      </c>
      <c r="BL4" s="13">
        <f t="shared" si="18"/>
        <v>0.02</v>
      </c>
      <c r="BM4" s="13">
        <f t="shared" si="19"/>
        <v>0.03</v>
      </c>
      <c r="BN4" s="30">
        <f t="shared" ref="BN4:BN67" si="102">SUMPRODUCT(R4:AC4,AX4:BI4)</f>
        <v>6008307.6529200757</v>
      </c>
      <c r="BO4" s="30">
        <f t="shared" ref="BO4:BO67" si="103">SUMPRODUCT(AD4:AG4,BJ4:BM4)</f>
        <v>1535326.1643260452</v>
      </c>
      <c r="BP4" s="30">
        <f t="shared" ref="BP4:BP67" si="104">SUMPRODUCT(AH4:AS4,AX4:BI4)</f>
        <v>3941373.0120534119</v>
      </c>
      <c r="BQ4" s="30">
        <f t="shared" ref="BQ4:BQ67" si="105">SUMPRODUCT(AT4:AW4,BJ4:BM4)</f>
        <v>1189223.1635080799</v>
      </c>
      <c r="BR4" s="36">
        <f t="shared" si="20"/>
        <v>0.3</v>
      </c>
      <c r="BS4" s="36">
        <f t="shared" si="21"/>
        <v>0.25</v>
      </c>
      <c r="BT4" s="36">
        <f t="shared" si="22"/>
        <v>0.2</v>
      </c>
      <c r="BU4" s="36">
        <f t="shared" si="23"/>
        <v>0.2</v>
      </c>
      <c r="BV4" s="36">
        <f t="shared" si="24"/>
        <v>0.2</v>
      </c>
      <c r="BW4" s="36">
        <f t="shared" si="25"/>
        <v>0.2</v>
      </c>
      <c r="BX4" s="36">
        <f t="shared" si="26"/>
        <v>0.2</v>
      </c>
      <c r="BY4" s="36">
        <f t="shared" si="27"/>
        <v>0.2</v>
      </c>
      <c r="BZ4" s="36">
        <f t="shared" si="28"/>
        <v>0.2</v>
      </c>
      <c r="CA4" s="36">
        <f t="shared" si="29"/>
        <v>0.2</v>
      </c>
      <c r="CB4" s="36">
        <f t="shared" si="30"/>
        <v>0.2</v>
      </c>
      <c r="CC4" s="36">
        <f t="shared" si="31"/>
        <v>0.2</v>
      </c>
      <c r="CD4" s="35">
        <f t="shared" si="32"/>
        <v>0.43052967191959501</v>
      </c>
      <c r="CE4" s="35">
        <f t="shared" si="33"/>
        <v>0.43052967191959501</v>
      </c>
      <c r="CF4" s="35">
        <f t="shared" si="34"/>
        <v>0.43052967191959501</v>
      </c>
      <c r="CG4" s="35">
        <f t="shared" si="35"/>
        <v>0.43052967191959501</v>
      </c>
      <c r="CH4" s="28">
        <f t="shared" si="36"/>
        <v>0</v>
      </c>
      <c r="CI4" s="28">
        <f t="shared" si="37"/>
        <v>0</v>
      </c>
      <c r="CJ4" s="28">
        <f t="shared" si="38"/>
        <v>17597.801316858571</v>
      </c>
      <c r="CK4" s="28">
        <f t="shared" si="39"/>
        <v>26656.478091215628</v>
      </c>
      <c r="CL4" s="28">
        <f t="shared" si="40"/>
        <v>36293.178431717497</v>
      </c>
      <c r="CM4" s="28">
        <f t="shared" si="41"/>
        <v>35455.627118204226</v>
      </c>
      <c r="CN4" s="28">
        <f t="shared" si="42"/>
        <v>33147.43435166774</v>
      </c>
      <c r="CO4" s="28">
        <f t="shared" si="43"/>
        <v>39289.220149925561</v>
      </c>
      <c r="CP4" s="28">
        <f t="shared" si="44"/>
        <v>29521.248099629658</v>
      </c>
      <c r="CQ4" s="28">
        <f t="shared" si="45"/>
        <v>15561.18257757758</v>
      </c>
      <c r="CR4" s="28">
        <f t="shared" si="46"/>
        <v>7764.9559921581495</v>
      </c>
      <c r="CS4" s="28">
        <f t="shared" si="47"/>
        <v>7872.0965916115365</v>
      </c>
      <c r="CT4" s="44">
        <f t="shared" ref="CT4:CT67" si="106">CH4/R4</f>
        <v>0</v>
      </c>
      <c r="CU4" s="44">
        <f t="shared" ref="CU4:CU67" si="107">CI4/S4</f>
        <v>0</v>
      </c>
      <c r="CV4" s="44">
        <f t="shared" ref="CV4:CV67" si="108">CJ4/T4</f>
        <v>4.3232477736309588E-2</v>
      </c>
      <c r="CW4" s="44">
        <f t="shared" ref="CW4:CW67" si="109">CK4/U4</f>
        <v>7.9985890038444821E-2</v>
      </c>
      <c r="CX4" s="44">
        <f t="shared" ref="CX4:CX67" si="110">CL4/V4</f>
        <v>0.13301312995299652</v>
      </c>
      <c r="CY4" s="44">
        <f t="shared" ref="CY4:CY67" si="111">CM4/W4</f>
        <v>0.20797219421072552</v>
      </c>
      <c r="CZ4" s="44">
        <f t="shared" ref="CZ4:CZ67" si="112">CN4/X4</f>
        <v>0.31118640476462622</v>
      </c>
      <c r="DA4" s="44">
        <f t="shared" ref="DA4:DA67" si="113">CO4/Y4</f>
        <v>0.45050851187629803</v>
      </c>
      <c r="DB4" s="44">
        <f t="shared" ref="DB4:DB67" si="114">CP4/Z4</f>
        <v>0.57945864960974047</v>
      </c>
      <c r="DC4" s="44">
        <f t="shared" ref="DC4:DC67" si="115">CQ4/AA4</f>
        <v>0.7328038177966012</v>
      </c>
      <c r="DD4" s="44">
        <f t="shared" ref="DD4:DD67" si="116">CR4/AB4</f>
        <v>0.87728663543596774</v>
      </c>
      <c r="DE4" s="44">
        <f t="shared" ref="DE4:DE67" si="117">CS4/AC4</f>
        <v>1.0188219393854598</v>
      </c>
      <c r="DF4" s="21">
        <f t="shared" si="49"/>
        <v>0</v>
      </c>
      <c r="DG4" s="21">
        <f t="shared" si="50"/>
        <v>0</v>
      </c>
      <c r="DH4" s="21">
        <f t="shared" si="51"/>
        <v>0</v>
      </c>
      <c r="DI4" s="21">
        <f t="shared" si="52"/>
        <v>0</v>
      </c>
      <c r="DJ4" s="21">
        <f t="shared" ref="DJ4:DJ34" si="118">$P4*F$31/($P4*F$31+BV4)*V4*(1-EXP(-($P4*F$31+BV4)))</f>
        <v>58837.391409875978</v>
      </c>
      <c r="DK4" s="21">
        <f t="shared" si="53"/>
        <v>65106.193235184677</v>
      </c>
      <c r="DL4" s="21">
        <f t="shared" si="54"/>
        <v>40679.134994014355</v>
      </c>
      <c r="DM4" s="21">
        <f t="shared" si="55"/>
        <v>33305.258828210259</v>
      </c>
      <c r="DN4" s="21">
        <f t="shared" si="56"/>
        <v>19456.049837434275</v>
      </c>
      <c r="DO4" s="21">
        <f t="shared" si="57"/>
        <v>8109.559795287194</v>
      </c>
      <c r="DP4" s="21">
        <f t="shared" si="58"/>
        <v>3380.1804900192983</v>
      </c>
      <c r="DQ4" s="21">
        <f t="shared" si="59"/>
        <v>2950.7643726904848</v>
      </c>
      <c r="DR4" s="31">
        <f t="shared" si="60"/>
        <v>0</v>
      </c>
      <c r="DS4" s="21">
        <f t="shared" si="61"/>
        <v>4722401.9377547149</v>
      </c>
      <c r="DT4" s="21">
        <f t="shared" si="62"/>
        <v>5247624.5850492949</v>
      </c>
      <c r="DU4" s="21">
        <f t="shared" si="63"/>
        <v>6274604.3698618058</v>
      </c>
      <c r="DV4" s="13">
        <f t="shared" si="64"/>
        <v>0</v>
      </c>
      <c r="DW4" s="13">
        <f t="shared" si="65"/>
        <v>0</v>
      </c>
      <c r="DX4" s="13">
        <f t="shared" si="66"/>
        <v>0</v>
      </c>
      <c r="DY4" s="13">
        <f t="shared" si="67"/>
        <v>0</v>
      </c>
      <c r="DZ4" s="13">
        <f t="shared" si="68"/>
        <v>195404.8289517395</v>
      </c>
      <c r="EA4" s="13">
        <f t="shared" ref="EA4:EA34" si="119">DK4*BC4</f>
        <v>312965.39892972057</v>
      </c>
      <c r="EB4" s="13">
        <f t="shared" si="69"/>
        <v>272043.93201837892</v>
      </c>
      <c r="EC4" s="13">
        <f t="shared" si="70"/>
        <v>301011.86078388657</v>
      </c>
      <c r="ED4" s="13">
        <f t="shared" si="71"/>
        <v>212430.87202962802</v>
      </c>
      <c r="EE4" s="13">
        <f t="shared" si="72"/>
        <v>105732.59885277026</v>
      </c>
      <c r="EF4" s="13">
        <f t="shared" si="73"/>
        <v>49993.135521082346</v>
      </c>
      <c r="EG4" s="13">
        <f t="shared" si="74"/>
        <v>48166.905882565028</v>
      </c>
      <c r="EH4" s="13">
        <f t="shared" si="75"/>
        <v>0</v>
      </c>
      <c r="EI4" s="13">
        <f t="shared" si="76"/>
        <v>47224.019377547149</v>
      </c>
      <c r="EJ4" s="13">
        <f t="shared" si="77"/>
        <v>104952.49170098591</v>
      </c>
      <c r="EK4" s="13">
        <f t="shared" si="78"/>
        <v>188238.13109585416</v>
      </c>
      <c r="EL4" s="21">
        <f t="shared" ref="EL4:EL67" si="120">SUM(DV4:EG4)</f>
        <v>1497749.5329697712</v>
      </c>
      <c r="EM4" s="21">
        <f t="shared" ref="EM4:EM67" si="121">SUM(EH4:EK4)</f>
        <v>340414.64217438723</v>
      </c>
      <c r="EN4" s="21">
        <f t="shared" si="79"/>
        <v>22466242994.546566</v>
      </c>
      <c r="EO4" s="21">
        <f t="shared" si="80"/>
        <v>7659329448.9237127</v>
      </c>
      <c r="EP4" s="21">
        <f t="shared" si="81"/>
        <v>20213706564.683308</v>
      </c>
      <c r="EQ4" s="21">
        <f t="shared" si="82"/>
        <v>5560253504.5068836</v>
      </c>
      <c r="ER4" s="21">
        <f t="shared" si="83"/>
        <v>19227872462.550007</v>
      </c>
      <c r="ES4" s="21">
        <f t="shared" si="84"/>
        <v>5289076741.1701612</v>
      </c>
    </row>
    <row r="5" spans="1:149" x14ac:dyDescent="0.25">
      <c r="A5" s="13" t="s">
        <v>49</v>
      </c>
      <c r="B5" s="32">
        <f>AVERAGE(EL3:EL102)</f>
        <v>1032775.6222340773</v>
      </c>
      <c r="O5" s="3">
        <v>3</v>
      </c>
      <c r="P5" s="21">
        <f t="shared" ref="P5:P68" si="122">P4</f>
        <v>450507.28597265156</v>
      </c>
      <c r="Q5" s="21">
        <f t="shared" ref="Q5:Q68" si="123">Q4</f>
        <v>419815.18888336571</v>
      </c>
      <c r="R5" s="13">
        <v>705521.49303852522</v>
      </c>
      <c r="S5" s="13">
        <f t="shared" si="85"/>
        <v>522663.17712550925</v>
      </c>
      <c r="T5" s="13">
        <f t="shared" si="86"/>
        <v>407050.49162793497</v>
      </c>
      <c r="U5" s="13">
        <f t="shared" si="87"/>
        <v>333264.75555130193</v>
      </c>
      <c r="V5" s="13">
        <f t="shared" si="88"/>
        <v>272854.10428686696</v>
      </c>
      <c r="W5" s="13">
        <f t="shared" si="89"/>
        <v>170482.53615230517</v>
      </c>
      <c r="X5" s="13">
        <f t="shared" si="90"/>
        <v>81290.090499611601</v>
      </c>
      <c r="Y5" s="13">
        <f t="shared" si="91"/>
        <v>50791.029252226013</v>
      </c>
      <c r="Z5" s="13">
        <f t="shared" si="92"/>
        <v>41584.177629280814</v>
      </c>
      <c r="AA5" s="13">
        <f t="shared" si="93"/>
        <v>24292.374864197503</v>
      </c>
      <c r="AB5" s="13">
        <f t="shared" si="94"/>
        <v>10125.409226270789</v>
      </c>
      <c r="AC5" s="13">
        <f t="shared" si="95"/>
        <v>8839.0832655272879</v>
      </c>
      <c r="AD5" s="13">
        <f t="shared" si="96"/>
        <v>47982607.109341934</v>
      </c>
      <c r="AE5" s="13">
        <f t="shared" si="97"/>
        <v>31496563.382485952</v>
      </c>
      <c r="AF5" s="13">
        <f t="shared" si="98"/>
        <v>16057159.65209786</v>
      </c>
      <c r="AG5" s="13">
        <f t="shared" si="99"/>
        <v>17410914.404560581</v>
      </c>
      <c r="AH5" s="21">
        <f t="shared" si="0"/>
        <v>0</v>
      </c>
      <c r="AI5" s="21">
        <f t="shared" si="1"/>
        <v>1567.9895313765278</v>
      </c>
      <c r="AJ5" s="21">
        <f t="shared" si="2"/>
        <v>20138.287480539944</v>
      </c>
      <c r="AK5" s="21">
        <f t="shared" si="3"/>
        <v>91139.140518134969</v>
      </c>
      <c r="AL5" s="21">
        <f t="shared" si="4"/>
        <v>157767.11524713269</v>
      </c>
      <c r="AM5" s="21">
        <f t="shared" si="5"/>
        <v>138126.74534360977</v>
      </c>
      <c r="AN5" s="21">
        <f t="shared" si="6"/>
        <v>76147.422669057225</v>
      </c>
      <c r="AO5" s="21">
        <f t="shared" si="7"/>
        <v>50002.431692783553</v>
      </c>
      <c r="AP5" s="21">
        <f t="shared" si="8"/>
        <v>41358.747613711552</v>
      </c>
      <c r="AQ5" s="21">
        <f t="shared" si="9"/>
        <v>24219.497739604914</v>
      </c>
      <c r="AR5" s="21">
        <f t="shared" si="10"/>
        <v>10125.409226270789</v>
      </c>
      <c r="AS5" s="21">
        <f t="shared" si="11"/>
        <v>8839.0832655272879</v>
      </c>
      <c r="AT5" s="21">
        <f t="shared" si="12"/>
        <v>0</v>
      </c>
      <c r="AU5" s="21">
        <f t="shared" si="13"/>
        <v>15748281.691242976</v>
      </c>
      <c r="AV5" s="21">
        <f t="shared" si="14"/>
        <v>16057159.65209786</v>
      </c>
      <c r="AW5" s="21">
        <f t="shared" si="15"/>
        <v>17410914.404560581</v>
      </c>
      <c r="AX5" s="13">
        <f t="shared" si="100"/>
        <v>0.2</v>
      </c>
      <c r="AY5" s="13">
        <f t="shared" ref="AY5:AY68" si="124">AX4+C$35+B$36*CT4</f>
        <v>0.6</v>
      </c>
      <c r="AZ5" s="13">
        <f t="shared" ref="AZ5:AZ68" si="125">AY4+D$35+C$36*CU4</f>
        <v>1.2658</v>
      </c>
      <c r="BA5" s="13">
        <f t="shared" ref="BA5:BA68" si="126">AZ4+E$35+D$36*CV4</f>
        <v>2.1592627344154165</v>
      </c>
      <c r="BB5" s="13">
        <f t="shared" ref="BB5:BB68" si="127">BA4+F$35+E$36*CW4</f>
        <v>3.3331057518929739</v>
      </c>
      <c r="BC5" s="13">
        <f t="shared" ref="BC5:BC68" si="128">BB4+G$35+F$36*CX4</f>
        <v>4.8341868146872873</v>
      </c>
      <c r="BD5" s="13">
        <f t="shared" ref="BD5:BD68" si="129">BC4+H$35+G$36*CY4</f>
        <v>6.7329052700178211</v>
      </c>
      <c r="BE5" s="13">
        <f t="shared" ref="BE5:BE68" si="130">BD4+I$35+H$36*CZ4</f>
        <v>9.1038527834388301</v>
      </c>
      <c r="BF5" s="13">
        <f t="shared" ref="BF5:BF68" si="131">BE4+J$35+I$36*DA4</f>
        <v>11.005745896971627</v>
      </c>
      <c r="BG5" s="13">
        <f t="shared" ref="BG5:BG68" si="132">BF4+K$35+J$36*DB4</f>
        <v>13.138610109992044</v>
      </c>
      <c r="BH5" s="13">
        <f t="shared" ref="BH5:BH68" si="133">BG4+L$35+K$36*DC4</f>
        <v>14.943500849225794</v>
      </c>
      <c r="BI5" s="13">
        <f t="shared" ref="BI5:BI68" si="134">BH4+M$35+L$36*DD4</f>
        <v>16.527129038227883</v>
      </c>
      <c r="BJ5" s="13">
        <f t="shared" si="16"/>
        <v>4.0000000000000001E-3</v>
      </c>
      <c r="BK5" s="13">
        <f t="shared" si="17"/>
        <v>0.01</v>
      </c>
      <c r="BL5" s="13">
        <f t="shared" si="18"/>
        <v>0.02</v>
      </c>
      <c r="BM5" s="13">
        <f t="shared" si="19"/>
        <v>0.03</v>
      </c>
      <c r="BN5" s="30">
        <f t="shared" si="102"/>
        <v>5507088.0945157902</v>
      </c>
      <c r="BO5" s="30">
        <f t="shared" si="103"/>
        <v>1350366.6874410019</v>
      </c>
      <c r="BP5" s="30">
        <f t="shared" si="104"/>
        <v>3455506.4542910457</v>
      </c>
      <c r="BQ5" s="30">
        <f t="shared" si="105"/>
        <v>1000953.4420912045</v>
      </c>
      <c r="BR5" s="36">
        <f t="shared" si="20"/>
        <v>0.3</v>
      </c>
      <c r="BS5" s="36">
        <f t="shared" si="21"/>
        <v>0.25</v>
      </c>
      <c r="BT5" s="36">
        <f t="shared" si="22"/>
        <v>0.2</v>
      </c>
      <c r="BU5" s="36">
        <f t="shared" si="23"/>
        <v>0.2</v>
      </c>
      <c r="BV5" s="36">
        <f t="shared" si="24"/>
        <v>0.2</v>
      </c>
      <c r="BW5" s="36">
        <f t="shared" si="25"/>
        <v>0.2</v>
      </c>
      <c r="BX5" s="36">
        <f t="shared" si="26"/>
        <v>0.2</v>
      </c>
      <c r="BY5" s="36">
        <f t="shared" si="27"/>
        <v>0.2</v>
      </c>
      <c r="BZ5" s="36">
        <f t="shared" si="28"/>
        <v>0.2</v>
      </c>
      <c r="CA5" s="36">
        <f t="shared" si="29"/>
        <v>0.2</v>
      </c>
      <c r="CB5" s="36">
        <f t="shared" si="30"/>
        <v>0.2</v>
      </c>
      <c r="CC5" s="36">
        <f t="shared" si="31"/>
        <v>0.2</v>
      </c>
      <c r="CD5" s="35">
        <f t="shared" si="32"/>
        <v>0.40722147172802003</v>
      </c>
      <c r="CE5" s="35">
        <f t="shared" si="33"/>
        <v>0.40722147172802003</v>
      </c>
      <c r="CF5" s="35">
        <f t="shared" si="34"/>
        <v>0.40722147172802003</v>
      </c>
      <c r="CG5" s="35">
        <f t="shared" si="35"/>
        <v>0.40722147172802003</v>
      </c>
      <c r="CH5" s="28">
        <f t="shared" si="36"/>
        <v>0</v>
      </c>
      <c r="CI5" s="28">
        <f t="shared" si="37"/>
        <v>0</v>
      </c>
      <c r="CJ5" s="28">
        <f t="shared" si="38"/>
        <v>15736.98312437089</v>
      </c>
      <c r="CK5" s="28">
        <f t="shared" si="39"/>
        <v>23837.781682121371</v>
      </c>
      <c r="CL5" s="28">
        <f t="shared" si="40"/>
        <v>32455.482717751027</v>
      </c>
      <c r="CM5" s="28">
        <f t="shared" si="41"/>
        <v>31706.495349998124</v>
      </c>
      <c r="CN5" s="28">
        <f t="shared" si="42"/>
        <v>22621.494381860022</v>
      </c>
      <c r="CO5" s="28">
        <f t="shared" si="43"/>
        <v>20462.235731542987</v>
      </c>
      <c r="CP5" s="28">
        <f t="shared" si="44"/>
        <v>21548.330911174264</v>
      </c>
      <c r="CQ5" s="28">
        <f t="shared" si="45"/>
        <v>15919.182680742519</v>
      </c>
      <c r="CR5" s="28">
        <f t="shared" si="46"/>
        <v>7943.596338571755</v>
      </c>
      <c r="CS5" s="28">
        <f t="shared" si="47"/>
        <v>8053.2018114668899</v>
      </c>
      <c r="CT5" s="44">
        <f t="shared" si="106"/>
        <v>0</v>
      </c>
      <c r="CU5" s="44">
        <f t="shared" si="107"/>
        <v>0</v>
      </c>
      <c r="CV5" s="44">
        <f t="shared" si="108"/>
        <v>3.8661009992724198E-2</v>
      </c>
      <c r="CW5" s="44">
        <f t="shared" si="109"/>
        <v>7.1528060753642583E-2</v>
      </c>
      <c r="CX5" s="44">
        <f t="shared" si="110"/>
        <v>0.11894811992136553</v>
      </c>
      <c r="CY5" s="44">
        <f t="shared" si="111"/>
        <v>0.18598089907386334</v>
      </c>
      <c r="CZ5" s="44">
        <f t="shared" si="112"/>
        <v>0.27828108251359501</v>
      </c>
      <c r="DA5" s="44">
        <f t="shared" si="113"/>
        <v>0.40287105878340101</v>
      </c>
      <c r="DB5" s="44">
        <f t="shared" si="114"/>
        <v>0.51818581344269177</v>
      </c>
      <c r="DC5" s="44">
        <f t="shared" si="115"/>
        <v>0.65531603104826397</v>
      </c>
      <c r="DD5" s="44">
        <f t="shared" si="116"/>
        <v>0.78452101649005646</v>
      </c>
      <c r="DE5" s="44">
        <f t="shared" si="117"/>
        <v>0.91109016280847122</v>
      </c>
      <c r="DF5" s="21">
        <f t="shared" si="49"/>
        <v>0</v>
      </c>
      <c r="DG5" s="21">
        <f t="shared" si="50"/>
        <v>0</v>
      </c>
      <c r="DH5" s="21">
        <f t="shared" si="51"/>
        <v>0</v>
      </c>
      <c r="DI5" s="21">
        <f t="shared" si="52"/>
        <v>0</v>
      </c>
      <c r="DJ5" s="21">
        <f t="shared" si="118"/>
        <v>58837.391409875978</v>
      </c>
      <c r="DK5" s="21">
        <f t="shared" si="53"/>
        <v>65106.193235184706</v>
      </c>
      <c r="DL5" s="21">
        <f t="shared" si="54"/>
        <v>31044.167101345665</v>
      </c>
      <c r="DM5" s="21">
        <f t="shared" si="55"/>
        <v>19396.770131077341</v>
      </c>
      <c r="DN5" s="21">
        <f t="shared" si="56"/>
        <v>15880.732216697457</v>
      </c>
      <c r="DO5" s="21">
        <f t="shared" si="57"/>
        <v>9277.1030261834894</v>
      </c>
      <c r="DP5" s="21">
        <f t="shared" si="58"/>
        <v>3866.8292046170054</v>
      </c>
      <c r="DQ5" s="21">
        <f t="shared" si="59"/>
        <v>3375.5895242735437</v>
      </c>
      <c r="DR5" s="21">
        <f t="shared" si="60"/>
        <v>0</v>
      </c>
      <c r="DS5" s="21">
        <f t="shared" si="61"/>
        <v>4933480.1612383788</v>
      </c>
      <c r="DT5" s="21">
        <f t="shared" si="62"/>
        <v>4586121.4990688134</v>
      </c>
      <c r="DU5" s="21">
        <f t="shared" si="63"/>
        <v>4972770.4400553787</v>
      </c>
      <c r="DV5" s="13">
        <f t="shared" si="64"/>
        <v>0</v>
      </c>
      <c r="DW5" s="13">
        <f t="shared" si="65"/>
        <v>0</v>
      </c>
      <c r="DX5" s="13">
        <f t="shared" si="66"/>
        <v>0</v>
      </c>
      <c r="DY5" s="13">
        <f t="shared" si="67"/>
        <v>0</v>
      </c>
      <c r="DZ5" s="13">
        <f t="shared" si="68"/>
        <v>196111.24773463586</v>
      </c>
      <c r="EA5" s="13">
        <f t="shared" si="119"/>
        <v>314735.50089201255</v>
      </c>
      <c r="EB5" s="13">
        <f t="shared" si="69"/>
        <v>209017.43627996411</v>
      </c>
      <c r="EC5" s="13">
        <f t="shared" si="70"/>
        <v>176585.3397475316</v>
      </c>
      <c r="ED5" s="13">
        <f t="shared" si="71"/>
        <v>174779.30343482317</v>
      </c>
      <c r="EE5" s="13">
        <f t="shared" si="72"/>
        <v>121888.23961125218</v>
      </c>
      <c r="EF5" s="13">
        <f t="shared" si="73"/>
        <v>57783.965503005318</v>
      </c>
      <c r="EG5" s="13">
        <f t="shared" si="74"/>
        <v>55788.80364775913</v>
      </c>
      <c r="EH5" s="13">
        <f t="shared" si="75"/>
        <v>0</v>
      </c>
      <c r="EI5" s="13">
        <f t="shared" si="76"/>
        <v>49334.801612383788</v>
      </c>
      <c r="EJ5" s="13">
        <f t="shared" si="77"/>
        <v>91722.429981376263</v>
      </c>
      <c r="EK5" s="13">
        <f t="shared" si="78"/>
        <v>149183.11320166136</v>
      </c>
      <c r="EL5" s="21">
        <f t="shared" si="120"/>
        <v>1306689.836850984</v>
      </c>
      <c r="EM5" s="21">
        <f t="shared" si="121"/>
        <v>290240.34479542141</v>
      </c>
      <c r="EN5" s="21">
        <f t="shared" si="79"/>
        <v>19600347552.764759</v>
      </c>
      <c r="EO5" s="21">
        <f t="shared" si="80"/>
        <v>6530407757.8969812</v>
      </c>
      <c r="EP5" s="21">
        <f t="shared" si="81"/>
        <v>17347811122.901501</v>
      </c>
      <c r="EQ5" s="21">
        <f t="shared" si="82"/>
        <v>4431331813.4801521</v>
      </c>
      <c r="ER5" s="21">
        <f t="shared" si="83"/>
        <v>15696948625.021694</v>
      </c>
      <c r="ES5" s="21">
        <f t="shared" si="84"/>
        <v>4009634836.5699868</v>
      </c>
    </row>
    <row r="6" spans="1:149" x14ac:dyDescent="0.25">
      <c r="A6" s="13" t="s">
        <v>53</v>
      </c>
      <c r="B6" s="32">
        <f>AVERAGE(EM3:EM102)</f>
        <v>295735.65793415229</v>
      </c>
      <c r="O6" s="3">
        <v>4</v>
      </c>
      <c r="P6" s="21">
        <f t="shared" si="122"/>
        <v>450507.28597265156</v>
      </c>
      <c r="Q6" s="21">
        <f t="shared" si="123"/>
        <v>419815.18888336571</v>
      </c>
      <c r="R6" s="13">
        <f t="shared" ref="R6:R37" si="135">$B$26*BP3/($B$27+BP3)</f>
        <v>705362.74802875647</v>
      </c>
      <c r="S6" s="13">
        <f t="shared" si="85"/>
        <v>522663.17712550925</v>
      </c>
      <c r="T6" s="13">
        <f t="shared" si="86"/>
        <v>407050.49162793497</v>
      </c>
      <c r="U6" s="13">
        <f t="shared" si="87"/>
        <v>333264.75555130193</v>
      </c>
      <c r="V6" s="13">
        <f t="shared" si="88"/>
        <v>272854.10428686696</v>
      </c>
      <c r="W6" s="13">
        <f t="shared" si="89"/>
        <v>170482.53615230517</v>
      </c>
      <c r="X6" s="13">
        <f t="shared" si="90"/>
        <v>81290.090499611644</v>
      </c>
      <c r="Y6" s="13">
        <f t="shared" si="91"/>
        <v>38761.030675491253</v>
      </c>
      <c r="Z6" s="13">
        <f t="shared" si="92"/>
        <v>24218.359590763557</v>
      </c>
      <c r="AA6" s="13">
        <f t="shared" si="93"/>
        <v>19828.315786059215</v>
      </c>
      <c r="AB6" s="13">
        <f t="shared" si="94"/>
        <v>11583.176762439341</v>
      </c>
      <c r="AC6" s="13">
        <f t="shared" si="95"/>
        <v>10111.656881667655</v>
      </c>
      <c r="AD6" s="13">
        <f t="shared" si="96"/>
        <v>47621207.657852612</v>
      </c>
      <c r="AE6" s="13">
        <f t="shared" si="97"/>
        <v>31932270.779472407</v>
      </c>
      <c r="AF6" s="13">
        <f t="shared" si="98"/>
        <v>16992114.351140141</v>
      </c>
      <c r="AG6" s="13">
        <f t="shared" si="99"/>
        <v>14637040.121212363</v>
      </c>
      <c r="AH6" s="21">
        <f t="shared" si="0"/>
        <v>0</v>
      </c>
      <c r="AI6" s="21">
        <f t="shared" si="1"/>
        <v>1567.9895313765278</v>
      </c>
      <c r="AJ6" s="21">
        <f t="shared" si="2"/>
        <v>20138.287480539944</v>
      </c>
      <c r="AK6" s="21">
        <f t="shared" si="3"/>
        <v>91139.140518134969</v>
      </c>
      <c r="AL6" s="21">
        <f t="shared" si="4"/>
        <v>157767.11524713269</v>
      </c>
      <c r="AM6" s="21">
        <f t="shared" si="5"/>
        <v>138126.74534360977</v>
      </c>
      <c r="AN6" s="21">
        <f t="shared" si="6"/>
        <v>76147.422669057269</v>
      </c>
      <c r="AO6" s="21">
        <f t="shared" si="7"/>
        <v>38159.214672898095</v>
      </c>
      <c r="AP6" s="21">
        <f t="shared" si="8"/>
        <v>24087.070588771523</v>
      </c>
      <c r="AQ6" s="21">
        <f t="shared" si="9"/>
        <v>19768.83083870104</v>
      </c>
      <c r="AR6" s="21">
        <f t="shared" si="10"/>
        <v>11583.176762439341</v>
      </c>
      <c r="AS6" s="21">
        <f t="shared" si="11"/>
        <v>10111.656881667655</v>
      </c>
      <c r="AT6" s="21">
        <f t="shared" si="12"/>
        <v>0</v>
      </c>
      <c r="AU6" s="21">
        <f t="shared" si="13"/>
        <v>15966135.389736203</v>
      </c>
      <c r="AV6" s="21">
        <f t="shared" si="14"/>
        <v>16992114.351140141</v>
      </c>
      <c r="AW6" s="21">
        <f t="shared" si="15"/>
        <v>14637040.121212363</v>
      </c>
      <c r="AX6" s="13">
        <f t="shared" si="100"/>
        <v>0.2</v>
      </c>
      <c r="AY6" s="13">
        <f t="shared" si="124"/>
        <v>0.6</v>
      </c>
      <c r="AZ6" s="13">
        <f t="shared" si="125"/>
        <v>1.2658</v>
      </c>
      <c r="BA6" s="13">
        <f t="shared" si="126"/>
        <v>2.156062706994907</v>
      </c>
      <c r="BB6" s="13">
        <f t="shared" si="127"/>
        <v>3.3207254126902113</v>
      </c>
      <c r="BC6" s="13">
        <f t="shared" si="128"/>
        <v>4.8383166990489386</v>
      </c>
      <c r="BD6" s="13">
        <f t="shared" si="129"/>
        <v>6.7493174552334798</v>
      </c>
      <c r="BE6" s="13">
        <f t="shared" si="130"/>
        <v>9.1353833246735299</v>
      </c>
      <c r="BF6" s="13">
        <f t="shared" si="131"/>
        <v>11.054957654013021</v>
      </c>
      <c r="BG6" s="13">
        <f t="shared" si="132"/>
        <v>13.20441093167657</v>
      </c>
      <c r="BH6" s="13">
        <f t="shared" si="133"/>
        <v>15.016970720858936</v>
      </c>
      <c r="BI6" s="13">
        <f t="shared" si="134"/>
        <v>16.648083204997313</v>
      </c>
      <c r="BJ6" s="13">
        <f t="shared" si="16"/>
        <v>4.0000000000000001E-3</v>
      </c>
      <c r="BK6" s="13">
        <f t="shared" si="17"/>
        <v>0.01</v>
      </c>
      <c r="BL6" s="13">
        <f t="shared" si="18"/>
        <v>0.02</v>
      </c>
      <c r="BM6" s="13">
        <f t="shared" si="19"/>
        <v>0.03</v>
      </c>
      <c r="BN6" s="30">
        <f t="shared" si="102"/>
        <v>5193964.3396845479</v>
      </c>
      <c r="BO6" s="30">
        <f t="shared" si="103"/>
        <v>1288761.0290853083</v>
      </c>
      <c r="BP6" s="30">
        <f t="shared" si="104"/>
        <v>3147279.1726999721</v>
      </c>
      <c r="BQ6" s="30">
        <f t="shared" si="105"/>
        <v>938614.84455653583</v>
      </c>
      <c r="BR6" s="36">
        <f t="shared" si="20"/>
        <v>0.3</v>
      </c>
      <c r="BS6" s="36">
        <f t="shared" si="21"/>
        <v>0.25</v>
      </c>
      <c r="BT6" s="36">
        <f t="shared" si="22"/>
        <v>0.2</v>
      </c>
      <c r="BU6" s="36">
        <f t="shared" si="23"/>
        <v>0.2</v>
      </c>
      <c r="BV6" s="36">
        <f t="shared" si="24"/>
        <v>0.2</v>
      </c>
      <c r="BW6" s="36">
        <f t="shared" si="25"/>
        <v>0.2</v>
      </c>
      <c r="BX6" s="36">
        <f t="shared" si="26"/>
        <v>0.2</v>
      </c>
      <c r="BY6" s="36">
        <f t="shared" si="27"/>
        <v>0.2</v>
      </c>
      <c r="BZ6" s="36">
        <f t="shared" si="28"/>
        <v>0.2</v>
      </c>
      <c r="CA6" s="36">
        <f t="shared" si="29"/>
        <v>0.2</v>
      </c>
      <c r="CB6" s="36">
        <f t="shared" si="30"/>
        <v>0.2</v>
      </c>
      <c r="CC6" s="36">
        <f t="shared" si="31"/>
        <v>0.2</v>
      </c>
      <c r="CD6" s="35">
        <f t="shared" si="32"/>
        <v>0.39225285117937336</v>
      </c>
      <c r="CE6" s="35">
        <f t="shared" si="33"/>
        <v>0.39225285117937336</v>
      </c>
      <c r="CF6" s="35">
        <f t="shared" si="34"/>
        <v>0.39225285117937336</v>
      </c>
      <c r="CG6" s="35">
        <f t="shared" si="35"/>
        <v>0.39225285117937336</v>
      </c>
      <c r="CH6" s="28">
        <f t="shared" si="36"/>
        <v>0</v>
      </c>
      <c r="CI6" s="28">
        <f t="shared" si="37"/>
        <v>0</v>
      </c>
      <c r="CJ6" s="28">
        <f t="shared" si="38"/>
        <v>15156.014238994272</v>
      </c>
      <c r="CK6" s="28">
        <f t="shared" si="39"/>
        <v>22957.752178101247</v>
      </c>
      <c r="CL6" s="28">
        <f t="shared" si="40"/>
        <v>31257.309886918454</v>
      </c>
      <c r="CM6" s="28">
        <f t="shared" si="41"/>
        <v>30535.973203719608</v>
      </c>
      <c r="CN6" s="28">
        <f t="shared" si="42"/>
        <v>21786.367072342251</v>
      </c>
      <c r="CO6" s="28">
        <f t="shared" si="43"/>
        <v>15039.206136457373</v>
      </c>
      <c r="CP6" s="28">
        <f t="shared" si="44"/>
        <v>12086.311072418588</v>
      </c>
      <c r="CQ6" s="28">
        <f t="shared" si="45"/>
        <v>12514.115086197471</v>
      </c>
      <c r="CR6" s="28">
        <f t="shared" si="46"/>
        <v>8751.7679047751244</v>
      </c>
      <c r="CS6" s="28">
        <f t="shared" si="47"/>
        <v>8872.5245015338969</v>
      </c>
      <c r="CT6" s="44">
        <f t="shared" si="106"/>
        <v>0</v>
      </c>
      <c r="CU6" s="44">
        <f t="shared" si="107"/>
        <v>0</v>
      </c>
      <c r="CV6" s="44">
        <f t="shared" si="108"/>
        <v>3.7233745077619625E-2</v>
      </c>
      <c r="CW6" s="44">
        <f t="shared" si="109"/>
        <v>6.8887428975570708E-2</v>
      </c>
      <c r="CX6" s="44">
        <f t="shared" si="110"/>
        <v>0.11455686169212201</v>
      </c>
      <c r="CY6" s="44">
        <f t="shared" si="111"/>
        <v>0.17911496328538587</v>
      </c>
      <c r="CZ6" s="44">
        <f t="shared" si="112"/>
        <v>0.26800766167736439</v>
      </c>
      <c r="DA6" s="44">
        <f t="shared" si="113"/>
        <v>0.3879980969124931</v>
      </c>
      <c r="DB6" s="44">
        <f t="shared" si="114"/>
        <v>0.49905572783005864</v>
      </c>
      <c r="DC6" s="44">
        <f t="shared" si="115"/>
        <v>0.63112345098900569</v>
      </c>
      <c r="DD6" s="44">
        <f t="shared" si="116"/>
        <v>0.75555852114373323</v>
      </c>
      <c r="DE6" s="44">
        <f t="shared" si="117"/>
        <v>0.87745506056675093</v>
      </c>
      <c r="DF6" s="21">
        <f t="shared" si="49"/>
        <v>0</v>
      </c>
      <c r="DG6" s="21">
        <f t="shared" si="50"/>
        <v>0</v>
      </c>
      <c r="DH6" s="21">
        <f t="shared" si="51"/>
        <v>0</v>
      </c>
      <c r="DI6" s="21">
        <f t="shared" si="52"/>
        <v>0</v>
      </c>
      <c r="DJ6" s="21">
        <f t="shared" si="118"/>
        <v>58837.391409875978</v>
      </c>
      <c r="DK6" s="21">
        <f t="shared" si="53"/>
        <v>65106.193235184706</v>
      </c>
      <c r="DL6" s="21">
        <f t="shared" si="54"/>
        <v>31044.167101345683</v>
      </c>
      <c r="DM6" s="21">
        <f t="shared" si="55"/>
        <v>14802.59040080765</v>
      </c>
      <c r="DN6" s="21">
        <f t="shared" si="56"/>
        <v>9248.8370653214315</v>
      </c>
      <c r="DO6" s="21">
        <f t="shared" si="57"/>
        <v>7572.3073355861688</v>
      </c>
      <c r="DP6" s="21">
        <f t="shared" si="58"/>
        <v>4423.541329177252</v>
      </c>
      <c r="DQ6" s="21">
        <f t="shared" si="59"/>
        <v>3861.5772719242127</v>
      </c>
      <c r="DR6" s="21">
        <f t="shared" si="60"/>
        <v>0</v>
      </c>
      <c r="DS6" s="21">
        <f t="shared" si="61"/>
        <v>5035495.1016194001</v>
      </c>
      <c r="DT6" s="21">
        <f t="shared" si="62"/>
        <v>4884673.7433777805</v>
      </c>
      <c r="DU6" s="21">
        <f t="shared" si="63"/>
        <v>4207667.3969685128</v>
      </c>
      <c r="DV6" s="13">
        <f t="shared" si="64"/>
        <v>0</v>
      </c>
      <c r="DW6" s="13">
        <f t="shared" si="65"/>
        <v>0</v>
      </c>
      <c r="DX6" s="13">
        <f t="shared" si="66"/>
        <v>0</v>
      </c>
      <c r="DY6" s="13">
        <f t="shared" si="67"/>
        <v>0</v>
      </c>
      <c r="DZ6" s="13">
        <f t="shared" si="68"/>
        <v>195382.82087117591</v>
      </c>
      <c r="EA6" s="13">
        <f t="shared" si="119"/>
        <v>315004.38194130122</v>
      </c>
      <c r="EB6" s="13">
        <f t="shared" si="69"/>
        <v>209526.93890029736</v>
      </c>
      <c r="EC6" s="13">
        <f t="shared" si="70"/>
        <v>135227.33750951066</v>
      </c>
      <c r="ED6" s="13">
        <f t="shared" si="71"/>
        <v>102245.50210599448</v>
      </c>
      <c r="EE6" s="13">
        <f t="shared" si="72"/>
        <v>99987.857760028695</v>
      </c>
      <c r="EF6" s="13">
        <f t="shared" si="73"/>
        <v>66428.190622764218</v>
      </c>
      <c r="EG6" s="13">
        <f t="shared" si="74"/>
        <v>64287.85972552083</v>
      </c>
      <c r="EH6" s="13">
        <f t="shared" si="75"/>
        <v>0</v>
      </c>
      <c r="EI6" s="13">
        <f t="shared" si="76"/>
        <v>50354.951016194005</v>
      </c>
      <c r="EJ6" s="13">
        <f t="shared" si="77"/>
        <v>97693.474867555618</v>
      </c>
      <c r="EK6" s="13">
        <f t="shared" si="78"/>
        <v>126230.02190905537</v>
      </c>
      <c r="EL6" s="21">
        <f t="shared" si="120"/>
        <v>1188090.8894365933</v>
      </c>
      <c r="EM6" s="21">
        <f t="shared" si="121"/>
        <v>274278.44779280497</v>
      </c>
      <c r="EN6" s="21">
        <f t="shared" si="79"/>
        <v>17821363341.548901</v>
      </c>
      <c r="EO6" s="21">
        <f t="shared" si="80"/>
        <v>6171265075.3381119</v>
      </c>
      <c r="EP6" s="21">
        <f t="shared" si="81"/>
        <v>15568826911.685642</v>
      </c>
      <c r="EQ6" s="21">
        <f t="shared" si="82"/>
        <v>4072189130.9212832</v>
      </c>
      <c r="ER6" s="21">
        <f t="shared" si="83"/>
        <v>13400213506.468931</v>
      </c>
      <c r="ES6" s="21">
        <f t="shared" si="84"/>
        <v>3504965666.4953723</v>
      </c>
    </row>
    <row r="7" spans="1:149" x14ac:dyDescent="0.25">
      <c r="A7" s="13" t="s">
        <v>50</v>
      </c>
      <c r="B7" s="32">
        <f>SUM(B5:B6)</f>
        <v>1328511.2801682297</v>
      </c>
      <c r="O7" s="3">
        <v>5</v>
      </c>
      <c r="P7" s="21">
        <f t="shared" si="122"/>
        <v>450507.28597265156</v>
      </c>
      <c r="Q7" s="21">
        <f t="shared" si="123"/>
        <v>419815.18888336571</v>
      </c>
      <c r="R7" s="13">
        <f t="shared" si="135"/>
        <v>702195.5041415157</v>
      </c>
      <c r="S7" s="13">
        <f t="shared" si="85"/>
        <v>522545.57592983026</v>
      </c>
      <c r="T7" s="13">
        <f t="shared" si="86"/>
        <v>407050.49162793497</v>
      </c>
      <c r="U7" s="13">
        <f t="shared" si="87"/>
        <v>333264.75555130193</v>
      </c>
      <c r="V7" s="13">
        <f t="shared" si="88"/>
        <v>272854.10428686696</v>
      </c>
      <c r="W7" s="13">
        <f t="shared" si="89"/>
        <v>170482.53615230517</v>
      </c>
      <c r="X7" s="13">
        <f t="shared" si="90"/>
        <v>81290.090499611644</v>
      </c>
      <c r="Y7" s="13">
        <f t="shared" si="91"/>
        <v>38761.030675491274</v>
      </c>
      <c r="Z7" s="13">
        <f t="shared" si="92"/>
        <v>18482.172793663605</v>
      </c>
      <c r="AA7" s="13">
        <f t="shared" si="93"/>
        <v>11547.884535965048</v>
      </c>
      <c r="AB7" s="13">
        <f t="shared" si="94"/>
        <v>9454.6082025882461</v>
      </c>
      <c r="AC7" s="13">
        <f t="shared" si="95"/>
        <v>11567.444475982935</v>
      </c>
      <c r="AD7" s="13">
        <f t="shared" si="96"/>
        <v>47471209.325082071</v>
      </c>
      <c r="AE7" s="13">
        <f t="shared" si="97"/>
        <v>32169710.748430137</v>
      </c>
      <c r="AF7" s="13">
        <f t="shared" si="98"/>
        <v>17486981.258724783</v>
      </c>
      <c r="AG7" s="13">
        <f t="shared" si="99"/>
        <v>14041416.236721022</v>
      </c>
      <c r="AH7" s="21">
        <f t="shared" si="0"/>
        <v>0</v>
      </c>
      <c r="AI7" s="21">
        <f t="shared" si="1"/>
        <v>1567.6367277894908</v>
      </c>
      <c r="AJ7" s="21">
        <f t="shared" si="2"/>
        <v>20138.287480539944</v>
      </c>
      <c r="AK7" s="21">
        <f t="shared" si="3"/>
        <v>91139.140518134969</v>
      </c>
      <c r="AL7" s="21">
        <f t="shared" si="4"/>
        <v>157767.11524713269</v>
      </c>
      <c r="AM7" s="21">
        <f t="shared" si="5"/>
        <v>138126.74534360977</v>
      </c>
      <c r="AN7" s="21">
        <f t="shared" si="6"/>
        <v>76147.422669057269</v>
      </c>
      <c r="AO7" s="21">
        <f t="shared" si="7"/>
        <v>38159.214672898117</v>
      </c>
      <c r="AP7" s="21">
        <f t="shared" si="8"/>
        <v>18381.979962203219</v>
      </c>
      <c r="AQ7" s="21">
        <f t="shared" si="9"/>
        <v>11513.240882357153</v>
      </c>
      <c r="AR7" s="21">
        <f t="shared" si="10"/>
        <v>9454.6082025882461</v>
      </c>
      <c r="AS7" s="21">
        <f t="shared" si="11"/>
        <v>11567.444475982935</v>
      </c>
      <c r="AT7" s="21">
        <f t="shared" si="12"/>
        <v>0</v>
      </c>
      <c r="AU7" s="21">
        <f t="shared" si="13"/>
        <v>16084855.374215068</v>
      </c>
      <c r="AV7" s="21">
        <f t="shared" si="14"/>
        <v>17486981.258724783</v>
      </c>
      <c r="AW7" s="21">
        <f t="shared" si="15"/>
        <v>14041416.236721022</v>
      </c>
      <c r="AX7" s="13">
        <f t="shared" si="100"/>
        <v>0.2</v>
      </c>
      <c r="AY7" s="13">
        <f t="shared" si="124"/>
        <v>0.6</v>
      </c>
      <c r="AZ7" s="13">
        <f t="shared" si="125"/>
        <v>1.2658</v>
      </c>
      <c r="BA7" s="13">
        <f t="shared" si="126"/>
        <v>2.155063621554334</v>
      </c>
      <c r="BB7" s="13">
        <f t="shared" si="127"/>
        <v>3.3158617872495166</v>
      </c>
      <c r="BC7" s="13">
        <f t="shared" si="128"/>
        <v>4.8234772552377994</v>
      </c>
      <c r="BD7" s="13">
        <f t="shared" si="129"/>
        <v>6.7500830310587778</v>
      </c>
      <c r="BE7" s="13">
        <f t="shared" si="130"/>
        <v>9.1474806731379719</v>
      </c>
      <c r="BF7" s="13">
        <f t="shared" si="131"/>
        <v>11.081282658592903</v>
      </c>
      <c r="BG7" s="13">
        <f t="shared" si="132"/>
        <v>13.246927158753543</v>
      </c>
      <c r="BH7" s="13">
        <f t="shared" si="133"/>
        <v>15.07430413952272</v>
      </c>
      <c r="BI7" s="13">
        <f t="shared" si="134"/>
        <v>16.71141620325924</v>
      </c>
      <c r="BJ7" s="13">
        <f t="shared" si="16"/>
        <v>4.0000000000000001E-3</v>
      </c>
      <c r="BK7" s="13">
        <f t="shared" si="17"/>
        <v>0.01</v>
      </c>
      <c r="BL7" s="13">
        <f t="shared" si="18"/>
        <v>0.02</v>
      </c>
      <c r="BM7" s="13">
        <f t="shared" si="19"/>
        <v>0.03</v>
      </c>
      <c r="BN7" s="30">
        <f t="shared" si="102"/>
        <v>5011373.6673874436</v>
      </c>
      <c r="BO7" s="30">
        <f t="shared" si="103"/>
        <v>1282564.0570607558</v>
      </c>
      <c r="BP7" s="30">
        <f t="shared" si="104"/>
        <v>2967330.5378647251</v>
      </c>
      <c r="BQ7" s="30">
        <f t="shared" si="105"/>
        <v>931830.66601827706</v>
      </c>
      <c r="BR7" s="36">
        <f t="shared" si="20"/>
        <v>0.3</v>
      </c>
      <c r="BS7" s="36">
        <f t="shared" si="21"/>
        <v>0.25</v>
      </c>
      <c r="BT7" s="36">
        <f t="shared" si="22"/>
        <v>0.2</v>
      </c>
      <c r="BU7" s="36">
        <f t="shared" si="23"/>
        <v>0.2</v>
      </c>
      <c r="BV7" s="36">
        <f t="shared" si="24"/>
        <v>0.2</v>
      </c>
      <c r="BW7" s="36">
        <f t="shared" si="25"/>
        <v>0.2</v>
      </c>
      <c r="BX7" s="36">
        <f t="shared" si="26"/>
        <v>0.2</v>
      </c>
      <c r="BY7" s="36">
        <f t="shared" si="27"/>
        <v>0.2</v>
      </c>
      <c r="BZ7" s="36">
        <f t="shared" si="28"/>
        <v>0.2</v>
      </c>
      <c r="CA7" s="36">
        <f t="shared" si="29"/>
        <v>0.2</v>
      </c>
      <c r="CB7" s="36">
        <f t="shared" si="30"/>
        <v>0.2</v>
      </c>
      <c r="CC7" s="36">
        <f t="shared" si="31"/>
        <v>0.2</v>
      </c>
      <c r="CD7" s="35">
        <f t="shared" si="32"/>
        <v>0.38320780762850559</v>
      </c>
      <c r="CE7" s="35">
        <f t="shared" si="33"/>
        <v>0.38320780762850559</v>
      </c>
      <c r="CF7" s="35">
        <f t="shared" si="34"/>
        <v>0.38320780762850559</v>
      </c>
      <c r="CG7" s="35">
        <f t="shared" si="35"/>
        <v>0.38320780762850559</v>
      </c>
      <c r="CH7" s="28">
        <f t="shared" si="36"/>
        <v>0</v>
      </c>
      <c r="CI7" s="28">
        <f t="shared" si="37"/>
        <v>0</v>
      </c>
      <c r="CJ7" s="28">
        <f t="shared" si="38"/>
        <v>15148.777546949506</v>
      </c>
      <c r="CK7" s="28">
        <f t="shared" si="39"/>
        <v>22946.790313066474</v>
      </c>
      <c r="CL7" s="28">
        <f t="shared" si="40"/>
        <v>31242.385149963709</v>
      </c>
      <c r="CM7" s="28">
        <f t="shared" si="41"/>
        <v>30521.392890526586</v>
      </c>
      <c r="CN7" s="28">
        <f t="shared" si="42"/>
        <v>21775.964520141475</v>
      </c>
      <c r="CO7" s="28">
        <f t="shared" si="43"/>
        <v>15032.025217932824</v>
      </c>
      <c r="CP7" s="28">
        <f t="shared" si="44"/>
        <v>9219.2300955615283</v>
      </c>
      <c r="CQ7" s="28">
        <f t="shared" si="45"/>
        <v>7284.6607993060989</v>
      </c>
      <c r="CR7" s="28">
        <f t="shared" si="46"/>
        <v>7140.0989092559093</v>
      </c>
      <c r="CS7" s="28">
        <f t="shared" si="47"/>
        <v>10145.066314057676</v>
      </c>
      <c r="CT7" s="44">
        <f t="shared" si="106"/>
        <v>0</v>
      </c>
      <c r="CU7" s="44">
        <f t="shared" si="107"/>
        <v>0</v>
      </c>
      <c r="CV7" s="44">
        <f t="shared" si="108"/>
        <v>3.7215966713034378E-2</v>
      </c>
      <c r="CW7" s="44">
        <f t="shared" si="109"/>
        <v>6.8854536613410663E-2</v>
      </c>
      <c r="CX7" s="44">
        <f t="shared" si="110"/>
        <v>0.1145021630941524</v>
      </c>
      <c r="CY7" s="44">
        <f t="shared" si="111"/>
        <v>0.17902943949202796</v>
      </c>
      <c r="CZ7" s="44">
        <f t="shared" si="112"/>
        <v>0.2678796934079623</v>
      </c>
      <c r="DA7" s="44">
        <f t="shared" si="113"/>
        <v>0.387812835623012</v>
      </c>
      <c r="DB7" s="44">
        <f t="shared" si="114"/>
        <v>0.49881743875494078</v>
      </c>
      <c r="DC7" s="44">
        <f t="shared" si="115"/>
        <v>0.63082210223167301</v>
      </c>
      <c r="DD7" s="44">
        <f t="shared" si="116"/>
        <v>0.75519775714251935</v>
      </c>
      <c r="DE7" s="44">
        <f t="shared" si="117"/>
        <v>0.87703609341903555</v>
      </c>
      <c r="DF7" s="21">
        <f t="shared" si="49"/>
        <v>0</v>
      </c>
      <c r="DG7" s="21">
        <f t="shared" si="50"/>
        <v>0</v>
      </c>
      <c r="DH7" s="21">
        <f t="shared" si="51"/>
        <v>0</v>
      </c>
      <c r="DI7" s="21">
        <f t="shared" si="52"/>
        <v>0</v>
      </c>
      <c r="DJ7" s="21">
        <f t="shared" si="118"/>
        <v>58837.391409875978</v>
      </c>
      <c r="DK7" s="21">
        <f t="shared" si="53"/>
        <v>65106.193235184706</v>
      </c>
      <c r="DL7" s="21">
        <f t="shared" si="54"/>
        <v>31044.167101345683</v>
      </c>
      <c r="DM7" s="21">
        <f t="shared" si="55"/>
        <v>14802.590400807658</v>
      </c>
      <c r="DN7" s="21">
        <f t="shared" si="56"/>
        <v>7058.2239123620984</v>
      </c>
      <c r="DO7" s="21">
        <f t="shared" si="57"/>
        <v>4410.0634529771787</v>
      </c>
      <c r="DP7" s="21">
        <f t="shared" si="58"/>
        <v>3610.6545719776914</v>
      </c>
      <c r="DQ7" s="21">
        <f t="shared" si="59"/>
        <v>4417.5332693185746</v>
      </c>
      <c r="DR7" s="21">
        <f t="shared" si="60"/>
        <v>0</v>
      </c>
      <c r="DS7" s="21">
        <f t="shared" si="61"/>
        <v>5093650.6358032757</v>
      </c>
      <c r="DT7" s="21">
        <f t="shared" si="62"/>
        <v>5046677.6887784274</v>
      </c>
      <c r="DU7" s="21">
        <f t="shared" si="63"/>
        <v>4052300.4509629523</v>
      </c>
      <c r="DV7" s="13">
        <f t="shared" si="64"/>
        <v>0</v>
      </c>
      <c r="DW7" s="13">
        <f t="shared" si="65"/>
        <v>0</v>
      </c>
      <c r="DX7" s="13">
        <f t="shared" si="66"/>
        <v>0</v>
      </c>
      <c r="DY7" s="13">
        <f t="shared" si="67"/>
        <v>0</v>
      </c>
      <c r="DZ7" s="13">
        <f t="shared" si="68"/>
        <v>195096.65783745071</v>
      </c>
      <c r="EA7" s="13">
        <f t="shared" si="119"/>
        <v>314038.24224503053</v>
      </c>
      <c r="EB7" s="13">
        <f t="shared" si="69"/>
        <v>209550.70556414666</v>
      </c>
      <c r="EC7" s="13">
        <f t="shared" si="70"/>
        <v>135406.4096037657</v>
      </c>
      <c r="ED7" s="13">
        <f t="shared" si="71"/>
        <v>78214.174240523877</v>
      </c>
      <c r="EE7" s="13">
        <f t="shared" si="72"/>
        <v>58419.789327069819</v>
      </c>
      <c r="EF7" s="13">
        <f t="shared" si="73"/>
        <v>54428.105160749947</v>
      </c>
      <c r="EG7" s="13">
        <f t="shared" si="74"/>
        <v>73823.23705532719</v>
      </c>
      <c r="EH7" s="13">
        <f t="shared" si="75"/>
        <v>0</v>
      </c>
      <c r="EI7" s="13">
        <f t="shared" si="76"/>
        <v>50936.506358032755</v>
      </c>
      <c r="EJ7" s="13">
        <f t="shared" si="77"/>
        <v>100933.55377556855</v>
      </c>
      <c r="EK7" s="13">
        <f t="shared" si="78"/>
        <v>121569.01352888856</v>
      </c>
      <c r="EL7" s="21">
        <f t="shared" si="120"/>
        <v>1118977.3210340643</v>
      </c>
      <c r="EM7" s="21">
        <f t="shared" si="121"/>
        <v>273439.07366248989</v>
      </c>
      <c r="EN7" s="21">
        <f t="shared" si="79"/>
        <v>16784659815.510963</v>
      </c>
      <c r="EO7" s="21">
        <f t="shared" si="80"/>
        <v>6152379157.4060221</v>
      </c>
      <c r="EP7" s="21">
        <f t="shared" si="81"/>
        <v>14532123385.647705</v>
      </c>
      <c r="EQ7" s="21">
        <f t="shared" si="82"/>
        <v>4053303212.9891934</v>
      </c>
      <c r="ER7" s="21">
        <f t="shared" si="83"/>
        <v>11897896323.353497</v>
      </c>
      <c r="ES7" s="21">
        <f t="shared" si="84"/>
        <v>3318563992.0240455</v>
      </c>
    </row>
    <row r="8" spans="1:149" x14ac:dyDescent="0.25">
      <c r="A8" s="11" t="s">
        <v>19</v>
      </c>
      <c r="B8" s="12"/>
      <c r="O8" s="3">
        <v>6</v>
      </c>
      <c r="P8" s="21">
        <f t="shared" si="122"/>
        <v>450507.28597265156</v>
      </c>
      <c r="Q8" s="21">
        <f t="shared" si="123"/>
        <v>419815.18888336571</v>
      </c>
      <c r="R8" s="13">
        <f t="shared" si="135"/>
        <v>699103.57671077247</v>
      </c>
      <c r="S8" s="13">
        <f t="shared" si="85"/>
        <v>520199.2239488195</v>
      </c>
      <c r="T8" s="13">
        <f t="shared" si="86"/>
        <v>406958.90372465004</v>
      </c>
      <c r="U8" s="13">
        <f t="shared" si="87"/>
        <v>333264.75555130193</v>
      </c>
      <c r="V8" s="13">
        <f t="shared" si="88"/>
        <v>272854.10428686696</v>
      </c>
      <c r="W8" s="13">
        <f t="shared" si="89"/>
        <v>170482.53615230517</v>
      </c>
      <c r="X8" s="13">
        <f t="shared" si="90"/>
        <v>81290.090499611644</v>
      </c>
      <c r="Y8" s="13">
        <f t="shared" si="91"/>
        <v>38761.030675491274</v>
      </c>
      <c r="Z8" s="13">
        <f t="shared" si="92"/>
        <v>18482.172793663616</v>
      </c>
      <c r="AA8" s="13">
        <f t="shared" si="93"/>
        <v>8812.7355032080777</v>
      </c>
      <c r="AB8" s="13">
        <f t="shared" si="94"/>
        <v>5506.3034618925776</v>
      </c>
      <c r="AC8" s="13">
        <f t="shared" si="95"/>
        <v>11021.933564097455</v>
      </c>
      <c r="AD8" s="13">
        <f t="shared" si="96"/>
        <v>47453736.080439903</v>
      </c>
      <c r="AE8" s="13">
        <f t="shared" si="97"/>
        <v>32359757.559308484</v>
      </c>
      <c r="AF8" s="13">
        <f t="shared" si="98"/>
        <v>17777079.300791554</v>
      </c>
      <c r="AG8" s="13">
        <f t="shared" si="99"/>
        <v>14123861.203165293</v>
      </c>
      <c r="AH8" s="21">
        <f t="shared" si="0"/>
        <v>0</v>
      </c>
      <c r="AI8" s="21">
        <f t="shared" si="1"/>
        <v>1560.5976718464585</v>
      </c>
      <c r="AJ8" s="21">
        <f t="shared" si="2"/>
        <v>20133.756289535322</v>
      </c>
      <c r="AK8" s="21">
        <f t="shared" si="3"/>
        <v>91139.140518134969</v>
      </c>
      <c r="AL8" s="21">
        <f t="shared" si="4"/>
        <v>157767.11524713269</v>
      </c>
      <c r="AM8" s="21">
        <f t="shared" si="5"/>
        <v>138126.74534360977</v>
      </c>
      <c r="AN8" s="21">
        <f t="shared" si="6"/>
        <v>76147.422669057269</v>
      </c>
      <c r="AO8" s="21">
        <f t="shared" si="7"/>
        <v>38159.214672898117</v>
      </c>
      <c r="AP8" s="21">
        <f t="shared" si="8"/>
        <v>18381.97996220323</v>
      </c>
      <c r="AQ8" s="21">
        <f t="shared" si="9"/>
        <v>8786.2972966984544</v>
      </c>
      <c r="AR8" s="21">
        <f t="shared" si="10"/>
        <v>5506.3034618925776</v>
      </c>
      <c r="AS8" s="21">
        <f t="shared" si="11"/>
        <v>11021.933564097455</v>
      </c>
      <c r="AT8" s="21">
        <f t="shared" si="12"/>
        <v>0</v>
      </c>
      <c r="AU8" s="21">
        <f t="shared" si="13"/>
        <v>16179878.779654242</v>
      </c>
      <c r="AV8" s="21">
        <f t="shared" si="14"/>
        <v>17777079.300791554</v>
      </c>
      <c r="AW8" s="21">
        <f t="shared" si="15"/>
        <v>14123861.203165293</v>
      </c>
      <c r="AX8" s="13">
        <f t="shared" si="100"/>
        <v>0.2</v>
      </c>
      <c r="AY8" s="13">
        <f t="shared" si="124"/>
        <v>0.6</v>
      </c>
      <c r="AZ8" s="13">
        <f t="shared" si="125"/>
        <v>1.2658</v>
      </c>
      <c r="BA8" s="13">
        <f t="shared" si="126"/>
        <v>2.155051176699124</v>
      </c>
      <c r="BB8" s="13">
        <f t="shared" si="127"/>
        <v>3.3148419796207826</v>
      </c>
      <c r="BC8" s="13">
        <f t="shared" si="128"/>
        <v>4.8185829985822419</v>
      </c>
      <c r="BD8" s="13">
        <f t="shared" si="129"/>
        <v>6.7352016805888928</v>
      </c>
      <c r="BE8" s="13">
        <f t="shared" si="130"/>
        <v>9.1481925022901223</v>
      </c>
      <c r="BF8" s="13">
        <f t="shared" si="131"/>
        <v>11.093315165606027</v>
      </c>
      <c r="BG8" s="13">
        <f t="shared" si="132"/>
        <v>13.273168762157132</v>
      </c>
      <c r="BH8" s="13">
        <f t="shared" si="133"/>
        <v>15.116714894534628</v>
      </c>
      <c r="BI8" s="13">
        <f t="shared" si="134"/>
        <v>16.768623354522603</v>
      </c>
      <c r="BJ8" s="13">
        <f t="shared" si="16"/>
        <v>4.0000000000000001E-3</v>
      </c>
      <c r="BK8" s="13">
        <f t="shared" si="17"/>
        <v>0.01</v>
      </c>
      <c r="BL8" s="13">
        <f t="shared" si="18"/>
        <v>0.02</v>
      </c>
      <c r="BM8" s="13">
        <f t="shared" si="19"/>
        <v>0.03</v>
      </c>
      <c r="BN8" s="30">
        <f t="shared" si="102"/>
        <v>4903383.8129314501</v>
      </c>
      <c r="BO8" s="30">
        <f t="shared" si="103"/>
        <v>1292669.9420256342</v>
      </c>
      <c r="BP8" s="30">
        <f t="shared" si="104"/>
        <v>2861934.4894487495</v>
      </c>
      <c r="BQ8" s="30">
        <f t="shared" si="105"/>
        <v>941056.2099073322</v>
      </c>
      <c r="BR8" s="36">
        <f t="shared" si="20"/>
        <v>0.3</v>
      </c>
      <c r="BS8" s="36">
        <f t="shared" si="21"/>
        <v>0.25</v>
      </c>
      <c r="BT8" s="36">
        <f t="shared" si="22"/>
        <v>0.2</v>
      </c>
      <c r="BU8" s="36">
        <f t="shared" si="23"/>
        <v>0.2</v>
      </c>
      <c r="BV8" s="36">
        <f t="shared" si="24"/>
        <v>0.2</v>
      </c>
      <c r="BW8" s="36">
        <f t="shared" si="25"/>
        <v>0.2</v>
      </c>
      <c r="BX8" s="36">
        <f t="shared" si="26"/>
        <v>0.2</v>
      </c>
      <c r="BY8" s="36">
        <f t="shared" si="27"/>
        <v>0.2</v>
      </c>
      <c r="BZ8" s="36">
        <f t="shared" si="28"/>
        <v>0.2</v>
      </c>
      <c r="CA8" s="36">
        <f t="shared" si="29"/>
        <v>0.2</v>
      </c>
      <c r="CB8" s="36">
        <f t="shared" si="30"/>
        <v>0.2</v>
      </c>
      <c r="CC8" s="36">
        <f t="shared" si="31"/>
        <v>0.2</v>
      </c>
      <c r="CD8" s="35">
        <f t="shared" si="32"/>
        <v>0.37763064804117263</v>
      </c>
      <c r="CE8" s="35">
        <f t="shared" si="33"/>
        <v>0.37763064804117263</v>
      </c>
      <c r="CF8" s="35">
        <f t="shared" si="34"/>
        <v>0.37763064804117263</v>
      </c>
      <c r="CG8" s="35">
        <f t="shared" si="35"/>
        <v>0.37763064804117263</v>
      </c>
      <c r="CH8" s="28">
        <f t="shared" si="36"/>
        <v>0</v>
      </c>
      <c r="CI8" s="28">
        <f t="shared" si="37"/>
        <v>0</v>
      </c>
      <c r="CJ8" s="28">
        <f t="shared" si="38"/>
        <v>15298.219263039751</v>
      </c>
      <c r="CK8" s="28">
        <f t="shared" si="39"/>
        <v>23178.374145530935</v>
      </c>
      <c r="CL8" s="28">
        <f t="shared" si="40"/>
        <v>31557.689869693488</v>
      </c>
      <c r="CM8" s="28">
        <f t="shared" si="41"/>
        <v>30829.421204783539</v>
      </c>
      <c r="CN8" s="28">
        <f t="shared" si="42"/>
        <v>21995.732132534438</v>
      </c>
      <c r="CO8" s="28">
        <f t="shared" si="43"/>
        <v>15183.731576956339</v>
      </c>
      <c r="CP8" s="28">
        <f t="shared" si="44"/>
        <v>9312.2725040541136</v>
      </c>
      <c r="CQ8" s="28">
        <f t="shared" si="45"/>
        <v>5615.3736414491068</v>
      </c>
      <c r="CR8" s="28">
        <f t="shared" si="46"/>
        <v>4200.3149471352663</v>
      </c>
      <c r="CS8" s="28">
        <f t="shared" si="47"/>
        <v>9764.1912532530041</v>
      </c>
      <c r="CT8" s="44">
        <f t="shared" si="106"/>
        <v>0</v>
      </c>
      <c r="CU8" s="44">
        <f t="shared" si="107"/>
        <v>0</v>
      </c>
      <c r="CV8" s="44">
        <f t="shared" si="108"/>
        <v>3.7591558073860415E-2</v>
      </c>
      <c r="CW8" s="44">
        <f t="shared" si="109"/>
        <v>6.9549431073766557E-2</v>
      </c>
      <c r="CX8" s="44">
        <f t="shared" si="110"/>
        <v>0.11565774299848941</v>
      </c>
      <c r="CY8" s="44">
        <f t="shared" si="111"/>
        <v>0.18083624223680744</v>
      </c>
      <c r="CZ8" s="44">
        <f t="shared" si="112"/>
        <v>0.2705831915962687</v>
      </c>
      <c r="DA8" s="44">
        <f t="shared" si="113"/>
        <v>0.39172672429882166</v>
      </c>
      <c r="DB8" s="44">
        <f t="shared" si="114"/>
        <v>0.50385160922457728</v>
      </c>
      <c r="DC8" s="44">
        <f t="shared" si="115"/>
        <v>0.63718849151945578</v>
      </c>
      <c r="DD8" s="44">
        <f t="shared" si="116"/>
        <v>0.76281937168998148</v>
      </c>
      <c r="DE8" s="44">
        <f t="shared" si="117"/>
        <v>0.88588732607304166</v>
      </c>
      <c r="DF8" s="21">
        <f t="shared" si="49"/>
        <v>0</v>
      </c>
      <c r="DG8" s="21">
        <f t="shared" si="50"/>
        <v>0</v>
      </c>
      <c r="DH8" s="21">
        <f t="shared" si="51"/>
        <v>0</v>
      </c>
      <c r="DI8" s="21">
        <f t="shared" si="52"/>
        <v>0</v>
      </c>
      <c r="DJ8" s="21">
        <f t="shared" si="118"/>
        <v>58837.391409875978</v>
      </c>
      <c r="DK8" s="21">
        <f t="shared" si="53"/>
        <v>65106.193235184706</v>
      </c>
      <c r="DL8" s="21">
        <f t="shared" si="54"/>
        <v>31044.167101345683</v>
      </c>
      <c r="DM8" s="21">
        <f t="shared" si="55"/>
        <v>14802.590400807658</v>
      </c>
      <c r="DN8" s="21">
        <f t="shared" si="56"/>
        <v>7058.2239123621021</v>
      </c>
      <c r="DO8" s="21">
        <f t="shared" si="57"/>
        <v>3365.5274818873568</v>
      </c>
      <c r="DP8" s="21">
        <f t="shared" si="58"/>
        <v>2102.8221734176573</v>
      </c>
      <c r="DQ8" s="21">
        <f t="shared" si="59"/>
        <v>4209.2061312861579</v>
      </c>
      <c r="DR8" s="21">
        <f t="shared" si="60"/>
        <v>0</v>
      </c>
      <c r="DS8" s="21">
        <f t="shared" si="61"/>
        <v>5136648.5773241874</v>
      </c>
      <c r="DT8" s="21">
        <f t="shared" si="62"/>
        <v>5142832.4362039482</v>
      </c>
      <c r="DU8" s="21">
        <f t="shared" si="63"/>
        <v>4085972.1831159703</v>
      </c>
      <c r="DV8" s="13">
        <f t="shared" si="64"/>
        <v>0</v>
      </c>
      <c r="DW8" s="13">
        <f t="shared" si="65"/>
        <v>0</v>
      </c>
      <c r="DX8" s="13">
        <f t="shared" si="66"/>
        <v>0</v>
      </c>
      <c r="DY8" s="13">
        <f t="shared" si="67"/>
        <v>0</v>
      </c>
      <c r="DZ8" s="13">
        <f t="shared" si="68"/>
        <v>195036.65501683613</v>
      </c>
      <c r="EA8" s="13">
        <f t="shared" si="119"/>
        <v>313719.59582547122</v>
      </c>
      <c r="EB8" s="13">
        <f t="shared" si="69"/>
        <v>209088.72643346587</v>
      </c>
      <c r="EC8" s="13">
        <f t="shared" si="70"/>
        <v>135416.94651914036</v>
      </c>
      <c r="ED8" s="13">
        <f t="shared" si="71"/>
        <v>78299.102369249609</v>
      </c>
      <c r="EE8" s="13">
        <f t="shared" si="72"/>
        <v>44671.214240768619</v>
      </c>
      <c r="EF8" s="13">
        <f t="shared" si="73"/>
        <v>31787.763269460378</v>
      </c>
      <c r="EG8" s="13">
        <f t="shared" si="74"/>
        <v>70582.592237084798</v>
      </c>
      <c r="EH8" s="13">
        <f t="shared" si="75"/>
        <v>0</v>
      </c>
      <c r="EI8" s="13">
        <f t="shared" si="76"/>
        <v>51366.485773241875</v>
      </c>
      <c r="EJ8" s="13">
        <f t="shared" si="77"/>
        <v>102856.64872407897</v>
      </c>
      <c r="EK8" s="13">
        <f t="shared" si="78"/>
        <v>122579.1654934791</v>
      </c>
      <c r="EL8" s="21">
        <f t="shared" si="120"/>
        <v>1078602.595911477</v>
      </c>
      <c r="EM8" s="21">
        <f t="shared" si="121"/>
        <v>276802.29999079998</v>
      </c>
      <c r="EN8" s="21">
        <f t="shared" si="79"/>
        <v>16179038938.672155</v>
      </c>
      <c r="EO8" s="21">
        <f t="shared" si="80"/>
        <v>6228051749.7929993</v>
      </c>
      <c r="EP8" s="21">
        <f t="shared" si="81"/>
        <v>13926502508.808897</v>
      </c>
      <c r="EQ8" s="21">
        <f t="shared" si="82"/>
        <v>4128975805.3761706</v>
      </c>
      <c r="ER8" s="21">
        <f t="shared" si="83"/>
        <v>10845971059.306253</v>
      </c>
      <c r="ES8" s="21">
        <f t="shared" si="84"/>
        <v>3215649590.5098462</v>
      </c>
    </row>
    <row r="9" spans="1:149" x14ac:dyDescent="0.25">
      <c r="A9" s="13" t="s">
        <v>20</v>
      </c>
      <c r="B9" s="13">
        <v>0</v>
      </c>
      <c r="O9" s="3">
        <v>7</v>
      </c>
      <c r="P9" s="21">
        <f t="shared" si="122"/>
        <v>450507.28597265156</v>
      </c>
      <c r="Q9" s="21">
        <f t="shared" si="123"/>
        <v>419815.18888336571</v>
      </c>
      <c r="R9" s="13">
        <f t="shared" si="135"/>
        <v>696666.53738297976</v>
      </c>
      <c r="S9" s="13">
        <f t="shared" si="85"/>
        <v>517908.66777109931</v>
      </c>
      <c r="T9" s="13">
        <f t="shared" si="86"/>
        <v>405131.56296447775</v>
      </c>
      <c r="U9" s="13">
        <f t="shared" si="87"/>
        <v>333189.76971827261</v>
      </c>
      <c r="V9" s="13">
        <f t="shared" si="88"/>
        <v>272854.10428686696</v>
      </c>
      <c r="W9" s="13">
        <f t="shared" si="89"/>
        <v>170482.53615230517</v>
      </c>
      <c r="X9" s="13">
        <f t="shared" si="90"/>
        <v>81290.090499611644</v>
      </c>
      <c r="Y9" s="13">
        <f t="shared" si="91"/>
        <v>38761.030675491274</v>
      </c>
      <c r="Z9" s="13">
        <f t="shared" si="92"/>
        <v>18482.172793663616</v>
      </c>
      <c r="AA9" s="13">
        <f t="shared" si="93"/>
        <v>8812.7355032080832</v>
      </c>
      <c r="AB9" s="13">
        <f t="shared" si="94"/>
        <v>4202.1199518343656</v>
      </c>
      <c r="AC9" s="13">
        <f t="shared" si="95"/>
        <v>8462.3536306291062</v>
      </c>
      <c r="AD9" s="13">
        <f t="shared" si="96"/>
        <v>47477438.741609052</v>
      </c>
      <c r="AE9" s="13">
        <f t="shared" si="97"/>
        <v>32528759.675442565</v>
      </c>
      <c r="AF9" s="13">
        <f t="shared" si="98"/>
        <v>17982109.692872778</v>
      </c>
      <c r="AG9" s="13">
        <f t="shared" si="99"/>
        <v>14370674.762401586</v>
      </c>
      <c r="AH9" s="21">
        <f t="shared" si="0"/>
        <v>0</v>
      </c>
      <c r="AI9" s="21">
        <f t="shared" si="1"/>
        <v>1553.726003313298</v>
      </c>
      <c r="AJ9" s="21">
        <f t="shared" si="2"/>
        <v>20043.351009821534</v>
      </c>
      <c r="AK9" s="21">
        <f t="shared" si="3"/>
        <v>91118.633866112854</v>
      </c>
      <c r="AL9" s="21">
        <f t="shared" si="4"/>
        <v>157767.11524713269</v>
      </c>
      <c r="AM9" s="21">
        <f t="shared" si="5"/>
        <v>138126.74534360977</v>
      </c>
      <c r="AN9" s="21">
        <f t="shared" si="6"/>
        <v>76147.422669057269</v>
      </c>
      <c r="AO9" s="21">
        <f t="shared" si="7"/>
        <v>38159.214672898117</v>
      </c>
      <c r="AP9" s="21">
        <f t="shared" si="8"/>
        <v>18381.97996220323</v>
      </c>
      <c r="AQ9" s="21">
        <f t="shared" si="9"/>
        <v>8786.2972966984598</v>
      </c>
      <c r="AR9" s="21">
        <f t="shared" si="10"/>
        <v>4202.1199518343656</v>
      </c>
      <c r="AS9" s="21">
        <f t="shared" si="11"/>
        <v>8462.3536306291062</v>
      </c>
      <c r="AT9" s="21">
        <f t="shared" si="12"/>
        <v>0</v>
      </c>
      <c r="AU9" s="21">
        <f t="shared" si="13"/>
        <v>16264379.837721283</v>
      </c>
      <c r="AV9" s="21">
        <f t="shared" si="14"/>
        <v>17982109.692872778</v>
      </c>
      <c r="AW9" s="21">
        <f t="shared" si="15"/>
        <v>14370674.762401586</v>
      </c>
      <c r="AX9" s="13">
        <f t="shared" si="100"/>
        <v>0.2</v>
      </c>
      <c r="AY9" s="13">
        <f t="shared" si="124"/>
        <v>0.6</v>
      </c>
      <c r="AZ9" s="13">
        <f t="shared" si="125"/>
        <v>1.2658</v>
      </c>
      <c r="BA9" s="13">
        <f t="shared" si="126"/>
        <v>2.1553140906517023</v>
      </c>
      <c r="BB9" s="13">
        <f t="shared" si="127"/>
        <v>3.315267318275597</v>
      </c>
      <c r="BC9" s="13">
        <f t="shared" si="128"/>
        <v>4.818210315699937</v>
      </c>
      <c r="BD9" s="13">
        <f t="shared" si="129"/>
        <v>6.7311927572782775</v>
      </c>
      <c r="BE9" s="13">
        <f t="shared" si="130"/>
        <v>9.1344466210593254</v>
      </c>
      <c r="BF9" s="13">
        <f t="shared" si="131"/>
        <v>11.095396855794711</v>
      </c>
      <c r="BG9" s="13">
        <f t="shared" si="132"/>
        <v>13.28696322883463</v>
      </c>
      <c r="BH9" s="13">
        <f t="shared" si="133"/>
        <v>15.145184734188941</v>
      </c>
      <c r="BI9" s="13">
        <f t="shared" si="134"/>
        <v>16.81370167462612</v>
      </c>
      <c r="BJ9" s="13">
        <f t="shared" si="16"/>
        <v>4.0000000000000001E-3</v>
      </c>
      <c r="BK9" s="13">
        <f t="shared" si="17"/>
        <v>0.01</v>
      </c>
      <c r="BL9" s="13">
        <f t="shared" si="18"/>
        <v>0.02</v>
      </c>
      <c r="BM9" s="13">
        <f t="shared" si="19"/>
        <v>0.03</v>
      </c>
      <c r="BN9" s="30">
        <f t="shared" si="102"/>
        <v>4836354.3959377967</v>
      </c>
      <c r="BO9" s="30">
        <f t="shared" si="103"/>
        <v>1305959.788450365</v>
      </c>
      <c r="BP9" s="30">
        <f t="shared" si="104"/>
        <v>2799006.4887864543</v>
      </c>
      <c r="BQ9" s="30">
        <f t="shared" si="105"/>
        <v>953406.23510671593</v>
      </c>
      <c r="BR9" s="36">
        <f t="shared" si="20"/>
        <v>0.3</v>
      </c>
      <c r="BS9" s="36">
        <f t="shared" si="21"/>
        <v>0.25</v>
      </c>
      <c r="BT9" s="36">
        <f t="shared" si="22"/>
        <v>0.2</v>
      </c>
      <c r="BU9" s="36">
        <f t="shared" si="23"/>
        <v>0.2</v>
      </c>
      <c r="BV9" s="36">
        <f t="shared" si="24"/>
        <v>0.2</v>
      </c>
      <c r="BW9" s="36">
        <f t="shared" si="25"/>
        <v>0.2</v>
      </c>
      <c r="BX9" s="36">
        <f t="shared" si="26"/>
        <v>0.2</v>
      </c>
      <c r="BY9" s="36">
        <f t="shared" si="27"/>
        <v>0.2</v>
      </c>
      <c r="BZ9" s="36">
        <f t="shared" si="28"/>
        <v>0.2</v>
      </c>
      <c r="CA9" s="36">
        <f t="shared" si="29"/>
        <v>0.2</v>
      </c>
      <c r="CB9" s="36">
        <f t="shared" si="30"/>
        <v>0.2</v>
      </c>
      <c r="CC9" s="36">
        <f t="shared" si="31"/>
        <v>0.2</v>
      </c>
      <c r="CD9" s="35">
        <f t="shared" si="32"/>
        <v>0.37408063431668803</v>
      </c>
      <c r="CE9" s="35">
        <f t="shared" si="33"/>
        <v>0.37408063431668803</v>
      </c>
      <c r="CF9" s="35">
        <f t="shared" si="34"/>
        <v>0.37408063431668803</v>
      </c>
      <c r="CG9" s="35">
        <f t="shared" si="35"/>
        <v>0.37408063431668803</v>
      </c>
      <c r="CH9" s="28">
        <f t="shared" si="36"/>
        <v>0</v>
      </c>
      <c r="CI9" s="28">
        <f t="shared" si="37"/>
        <v>0</v>
      </c>
      <c r="CJ9" s="28">
        <f t="shared" si="38"/>
        <v>15404.285107397183</v>
      </c>
      <c r="CK9" s="28">
        <f t="shared" si="39"/>
        <v>23439.070331847892</v>
      </c>
      <c r="CL9" s="28">
        <f t="shared" si="40"/>
        <v>31919.813557059289</v>
      </c>
      <c r="CM9" s="28">
        <f t="shared" si="41"/>
        <v>31183.188027771153</v>
      </c>
      <c r="CN9" s="28">
        <f t="shared" si="42"/>
        <v>22248.132598444121</v>
      </c>
      <c r="CO9" s="28">
        <f t="shared" si="43"/>
        <v>15357.964510017144</v>
      </c>
      <c r="CP9" s="28">
        <f t="shared" si="44"/>
        <v>9419.1305938207479</v>
      </c>
      <c r="CQ9" s="28">
        <f t="shared" si="45"/>
        <v>5679.8099109407849</v>
      </c>
      <c r="CR9" s="28">
        <f t="shared" si="46"/>
        <v>3242.2410560734033</v>
      </c>
      <c r="CS9" s="28">
        <f t="shared" si="47"/>
        <v>7582.716177905213</v>
      </c>
      <c r="CT9" s="44">
        <f t="shared" si="106"/>
        <v>0</v>
      </c>
      <c r="CU9" s="44">
        <f t="shared" si="107"/>
        <v>0</v>
      </c>
      <c r="CV9" s="44">
        <f t="shared" si="108"/>
        <v>3.8022920245164515E-2</v>
      </c>
      <c r="CW9" s="44">
        <f t="shared" si="109"/>
        <v>7.0347509023661534E-2</v>
      </c>
      <c r="CX9" s="44">
        <f t="shared" si="110"/>
        <v>0.11698491265317447</v>
      </c>
      <c r="CY9" s="44">
        <f t="shared" si="111"/>
        <v>0.18291133350991923</v>
      </c>
      <c r="CZ9" s="44">
        <f t="shared" si="112"/>
        <v>0.27368812682709964</v>
      </c>
      <c r="DA9" s="44">
        <f t="shared" si="113"/>
        <v>0.39622177848144874</v>
      </c>
      <c r="DB9" s="44">
        <f t="shared" si="114"/>
        <v>0.50963329360549969</v>
      </c>
      <c r="DC9" s="44">
        <f t="shared" si="115"/>
        <v>0.64450021322813722</v>
      </c>
      <c r="DD9" s="44">
        <f t="shared" si="116"/>
        <v>0.77157270454834515</v>
      </c>
      <c r="DE9" s="44">
        <f t="shared" si="117"/>
        <v>0.89605286057296341</v>
      </c>
      <c r="DF9" s="21">
        <f t="shared" si="49"/>
        <v>0</v>
      </c>
      <c r="DG9" s="21">
        <f t="shared" si="50"/>
        <v>0</v>
      </c>
      <c r="DH9" s="21">
        <f t="shared" si="51"/>
        <v>0</v>
      </c>
      <c r="DI9" s="21">
        <f t="shared" si="52"/>
        <v>0</v>
      </c>
      <c r="DJ9" s="21">
        <f t="shared" si="118"/>
        <v>58837.391409875978</v>
      </c>
      <c r="DK9" s="21">
        <f t="shared" si="53"/>
        <v>65106.193235184706</v>
      </c>
      <c r="DL9" s="21">
        <f t="shared" si="54"/>
        <v>31044.167101345683</v>
      </c>
      <c r="DM9" s="21">
        <f t="shared" si="55"/>
        <v>14802.590400807658</v>
      </c>
      <c r="DN9" s="21">
        <f t="shared" si="56"/>
        <v>7058.2239123621021</v>
      </c>
      <c r="DO9" s="21">
        <f t="shared" si="57"/>
        <v>3365.5274818873586</v>
      </c>
      <c r="DP9" s="21">
        <f t="shared" si="58"/>
        <v>1604.7628088846566</v>
      </c>
      <c r="DQ9" s="21">
        <f t="shared" si="59"/>
        <v>3231.7188794516642</v>
      </c>
      <c r="DR9" s="21">
        <f t="shared" si="60"/>
        <v>0</v>
      </c>
      <c r="DS9" s="21">
        <f t="shared" si="61"/>
        <v>5171757.3868826525</v>
      </c>
      <c r="DT9" s="21">
        <f t="shared" si="62"/>
        <v>5210175.091752274</v>
      </c>
      <c r="DU9" s="21">
        <f t="shared" si="63"/>
        <v>4163790.1768786362</v>
      </c>
      <c r="DV9" s="13">
        <f t="shared" si="64"/>
        <v>0</v>
      </c>
      <c r="DW9" s="13">
        <f t="shared" si="65"/>
        <v>0</v>
      </c>
      <c r="DX9" s="13">
        <f t="shared" si="66"/>
        <v>0</v>
      </c>
      <c r="DY9" s="13">
        <f t="shared" si="67"/>
        <v>0</v>
      </c>
      <c r="DZ9" s="13">
        <f t="shared" si="68"/>
        <v>195061.68083375119</v>
      </c>
      <c r="EA9" s="13">
        <f t="shared" si="119"/>
        <v>313695.33186172042</v>
      </c>
      <c r="EB9" s="13">
        <f t="shared" si="69"/>
        <v>208964.27274831463</v>
      </c>
      <c r="EC9" s="13">
        <f t="shared" si="70"/>
        <v>135213.47186958272</v>
      </c>
      <c r="ED9" s="13">
        <f t="shared" si="71"/>
        <v>78313.795404717515</v>
      </c>
      <c r="EE9" s="13">
        <f t="shared" si="72"/>
        <v>44717.639897469737</v>
      </c>
      <c r="EF9" s="13">
        <f t="shared" si="73"/>
        <v>24304.429195114066</v>
      </c>
      <c r="EG9" s="13">
        <f t="shared" si="74"/>
        <v>54337.157135357294</v>
      </c>
      <c r="EH9" s="13">
        <f t="shared" si="75"/>
        <v>0</v>
      </c>
      <c r="EI9" s="13">
        <f t="shared" si="76"/>
        <v>51717.573868826526</v>
      </c>
      <c r="EJ9" s="13">
        <f t="shared" si="77"/>
        <v>104203.50183504548</v>
      </c>
      <c r="EK9" s="13">
        <f t="shared" si="78"/>
        <v>124913.70530635909</v>
      </c>
      <c r="EL9" s="21">
        <f t="shared" si="120"/>
        <v>1054607.7789460279</v>
      </c>
      <c r="EM9" s="21">
        <f t="shared" si="121"/>
        <v>280834.78101023112</v>
      </c>
      <c r="EN9" s="21">
        <f t="shared" si="79"/>
        <v>15819116684.190418</v>
      </c>
      <c r="EO9" s="21">
        <f t="shared" si="80"/>
        <v>6318782572.7301998</v>
      </c>
      <c r="EP9" s="21">
        <f t="shared" si="81"/>
        <v>13566580254.32716</v>
      </c>
      <c r="EQ9" s="21">
        <f t="shared" si="82"/>
        <v>4219706628.3133712</v>
      </c>
      <c r="ER9" s="21">
        <f t="shared" si="83"/>
        <v>10050369844.746374</v>
      </c>
      <c r="ES9" s="21">
        <f t="shared" si="84"/>
        <v>3126035556.1859627</v>
      </c>
    </row>
    <row r="10" spans="1:149" x14ac:dyDescent="0.25">
      <c r="A10" s="13" t="s">
        <v>21</v>
      </c>
      <c r="B10" s="13">
        <v>0</v>
      </c>
      <c r="O10" s="3">
        <v>8</v>
      </c>
      <c r="P10" s="21">
        <f t="shared" si="122"/>
        <v>450507.28597265156</v>
      </c>
      <c r="Q10" s="21">
        <f t="shared" si="123"/>
        <v>419815.18888336571</v>
      </c>
      <c r="R10" s="13">
        <f t="shared" si="135"/>
        <v>695019.35694272676</v>
      </c>
      <c r="S10" s="13">
        <f t="shared" si="85"/>
        <v>516103.26463255257</v>
      </c>
      <c r="T10" s="13">
        <f t="shared" si="86"/>
        <v>403347.67601960019</v>
      </c>
      <c r="U10" s="13">
        <f t="shared" si="87"/>
        <v>331693.6696415667</v>
      </c>
      <c r="V10" s="13">
        <f t="shared" si="88"/>
        <v>272792.7110793207</v>
      </c>
      <c r="W10" s="13">
        <f t="shared" si="89"/>
        <v>170482.53615230517</v>
      </c>
      <c r="X10" s="13">
        <f t="shared" si="90"/>
        <v>81290.090499611644</v>
      </c>
      <c r="Y10" s="13">
        <f t="shared" si="91"/>
        <v>38761.030675491274</v>
      </c>
      <c r="Z10" s="13">
        <f t="shared" si="92"/>
        <v>18482.172793663616</v>
      </c>
      <c r="AA10" s="13">
        <f t="shared" si="93"/>
        <v>8812.7355032080832</v>
      </c>
      <c r="AB10" s="13">
        <f t="shared" si="94"/>
        <v>4202.1199518343683</v>
      </c>
      <c r="AC10" s="13">
        <f t="shared" si="95"/>
        <v>6482.3374534803152</v>
      </c>
      <c r="AD10" s="13">
        <f t="shared" si="96"/>
        <v>47508486.68013896</v>
      </c>
      <c r="AE10" s="13">
        <f t="shared" si="97"/>
        <v>32660748.003722746</v>
      </c>
      <c r="AF10" s="13">
        <f t="shared" si="98"/>
        <v>18140307.252046734</v>
      </c>
      <c r="AG10" s="13">
        <f t="shared" si="99"/>
        <v>14626051.19109036</v>
      </c>
      <c r="AH10" s="21">
        <f t="shared" si="0"/>
        <v>0</v>
      </c>
      <c r="AI10" s="21">
        <f t="shared" si="1"/>
        <v>1548.3097938976578</v>
      </c>
      <c r="AJ10" s="21">
        <f t="shared" si="2"/>
        <v>19955.09555044338</v>
      </c>
      <c r="AK10" s="21">
        <f t="shared" si="3"/>
        <v>90709.489866188436</v>
      </c>
      <c r="AL10" s="21">
        <f t="shared" si="4"/>
        <v>157731.61704828514</v>
      </c>
      <c r="AM10" s="21">
        <f t="shared" si="5"/>
        <v>138126.74534360977</v>
      </c>
      <c r="AN10" s="21">
        <f t="shared" si="6"/>
        <v>76147.422669057269</v>
      </c>
      <c r="AO10" s="21">
        <f t="shared" si="7"/>
        <v>38159.214672898117</v>
      </c>
      <c r="AP10" s="21">
        <f t="shared" si="8"/>
        <v>18381.97996220323</v>
      </c>
      <c r="AQ10" s="21">
        <f t="shared" si="9"/>
        <v>8786.2972966984598</v>
      </c>
      <c r="AR10" s="21">
        <f t="shared" si="10"/>
        <v>4202.1199518343683</v>
      </c>
      <c r="AS10" s="21">
        <f t="shared" si="11"/>
        <v>6482.3374534803152</v>
      </c>
      <c r="AT10" s="21">
        <f t="shared" si="12"/>
        <v>0</v>
      </c>
      <c r="AU10" s="21">
        <f t="shared" si="13"/>
        <v>16330374.001861373</v>
      </c>
      <c r="AV10" s="21">
        <f t="shared" si="14"/>
        <v>18140307.252046734</v>
      </c>
      <c r="AW10" s="21">
        <f t="shared" si="15"/>
        <v>14626051.19109036</v>
      </c>
      <c r="AX10" s="13">
        <f t="shared" si="100"/>
        <v>0.2</v>
      </c>
      <c r="AY10" s="13">
        <f t="shared" si="124"/>
        <v>0.6</v>
      </c>
      <c r="AZ10" s="13">
        <f t="shared" si="125"/>
        <v>1.2658</v>
      </c>
      <c r="BA10" s="13">
        <f t="shared" si="126"/>
        <v>2.155616044171615</v>
      </c>
      <c r="BB10" s="13">
        <f t="shared" si="127"/>
        <v>3.3160330213366089</v>
      </c>
      <c r="BC10" s="13">
        <f t="shared" si="128"/>
        <v>4.8193788693613753</v>
      </c>
      <c r="BD10" s="13">
        <f t="shared" si="129"/>
        <v>6.731836869119797</v>
      </c>
      <c r="BE10" s="13">
        <f t="shared" si="130"/>
        <v>9.1317417705456592</v>
      </c>
      <c r="BF10" s="13">
        <f t="shared" si="131"/>
        <v>11.083224243527832</v>
      </c>
      <c r="BG10" s="13">
        <f t="shared" si="132"/>
        <v>13.291068508556636</v>
      </c>
      <c r="BH10" s="13">
        <f t="shared" si="133"/>
        <v>15.161538303464477</v>
      </c>
      <c r="BI10" s="13">
        <f t="shared" si="134"/>
        <v>16.845235180780861</v>
      </c>
      <c r="BJ10" s="13">
        <f t="shared" si="16"/>
        <v>4.0000000000000001E-3</v>
      </c>
      <c r="BK10" s="13">
        <f t="shared" si="17"/>
        <v>0.01</v>
      </c>
      <c r="BL10" s="13">
        <f t="shared" si="18"/>
        <v>0.02</v>
      </c>
      <c r="BM10" s="13">
        <f t="shared" si="19"/>
        <v>0.03</v>
      </c>
      <c r="BN10" s="30">
        <f t="shared" si="102"/>
        <v>4796504.2743891645</v>
      </c>
      <c r="BO10" s="30">
        <f t="shared" si="103"/>
        <v>1318229.1075314288</v>
      </c>
      <c r="BP10" s="30">
        <f t="shared" si="104"/>
        <v>2764941.4547522338</v>
      </c>
      <c r="BQ10" s="30">
        <f t="shared" si="105"/>
        <v>964891.42079225928</v>
      </c>
      <c r="BR10" s="36">
        <f t="shared" si="20"/>
        <v>0.3</v>
      </c>
      <c r="BS10" s="36">
        <f t="shared" si="21"/>
        <v>0.25</v>
      </c>
      <c r="BT10" s="36">
        <f t="shared" si="22"/>
        <v>0.2</v>
      </c>
      <c r="BU10" s="36">
        <f t="shared" si="23"/>
        <v>0.2</v>
      </c>
      <c r="BV10" s="36">
        <f t="shared" si="24"/>
        <v>0.2</v>
      </c>
      <c r="BW10" s="36">
        <f t="shared" si="25"/>
        <v>0.2</v>
      </c>
      <c r="BX10" s="36">
        <f t="shared" si="26"/>
        <v>0.2</v>
      </c>
      <c r="BY10" s="36">
        <f t="shared" si="27"/>
        <v>0.2</v>
      </c>
      <c r="BZ10" s="36">
        <f t="shared" si="28"/>
        <v>0.2</v>
      </c>
      <c r="CA10" s="36">
        <f t="shared" si="29"/>
        <v>0.2</v>
      </c>
      <c r="CB10" s="36">
        <f t="shared" si="30"/>
        <v>0.2</v>
      </c>
      <c r="CC10" s="36">
        <f t="shared" si="31"/>
        <v>0.2</v>
      </c>
      <c r="CD10" s="35">
        <f t="shared" si="32"/>
        <v>0.37202455158489039</v>
      </c>
      <c r="CE10" s="35">
        <f t="shared" si="33"/>
        <v>0.37202455158489039</v>
      </c>
      <c r="CF10" s="35">
        <f t="shared" si="34"/>
        <v>0.37202455158489039</v>
      </c>
      <c r="CG10" s="35">
        <f t="shared" si="35"/>
        <v>0.37202455158489039</v>
      </c>
      <c r="CH10" s="28">
        <f t="shared" si="36"/>
        <v>0</v>
      </c>
      <c r="CI10" s="28">
        <f t="shared" si="37"/>
        <v>0</v>
      </c>
      <c r="CJ10" s="28">
        <f t="shared" si="38"/>
        <v>15488.952996644999</v>
      </c>
      <c r="CK10" s="28">
        <f t="shared" si="39"/>
        <v>23565.840894920282</v>
      </c>
      <c r="CL10" s="28">
        <f t="shared" si="40"/>
        <v>32229.951451634377</v>
      </c>
      <c r="CM10" s="28">
        <f t="shared" si="41"/>
        <v>31493.254855336425</v>
      </c>
      <c r="CN10" s="28">
        <f t="shared" si="42"/>
        <v>22469.354619999704</v>
      </c>
      <c r="CO10" s="28">
        <f t="shared" si="43"/>
        <v>15510.674852822383</v>
      </c>
      <c r="CP10" s="28">
        <f t="shared" si="44"/>
        <v>9512.7887515129005</v>
      </c>
      <c r="CQ10" s="28">
        <f t="shared" si="45"/>
        <v>5736.2865174600047</v>
      </c>
      <c r="CR10" s="28">
        <f t="shared" si="46"/>
        <v>3274.4799470284706</v>
      </c>
      <c r="CS10" s="28">
        <f t="shared" si="47"/>
        <v>5866.2734108139075</v>
      </c>
      <c r="CT10" s="44">
        <f t="shared" si="106"/>
        <v>0</v>
      </c>
      <c r="CU10" s="44">
        <f t="shared" si="107"/>
        <v>0</v>
      </c>
      <c r="CV10" s="44">
        <f t="shared" si="108"/>
        <v>3.8400997247576389E-2</v>
      </c>
      <c r="CW10" s="44">
        <f t="shared" si="109"/>
        <v>7.1047002254778918E-2</v>
      </c>
      <c r="CX10" s="44">
        <f t="shared" si="110"/>
        <v>0.1181481401175077</v>
      </c>
      <c r="CY10" s="44">
        <f t="shared" si="111"/>
        <v>0.18473009356923853</v>
      </c>
      <c r="CZ10" s="44">
        <f t="shared" si="112"/>
        <v>0.27640951660777213</v>
      </c>
      <c r="DA10" s="44">
        <f t="shared" si="113"/>
        <v>0.40016156904284367</v>
      </c>
      <c r="DB10" s="44">
        <f t="shared" si="114"/>
        <v>0.51470077991989349</v>
      </c>
      <c r="DC10" s="44">
        <f t="shared" si="115"/>
        <v>0.65090873490664003</v>
      </c>
      <c r="DD10" s="44">
        <f t="shared" si="116"/>
        <v>0.77924475849363817</v>
      </c>
      <c r="DE10" s="44">
        <f t="shared" si="117"/>
        <v>0.90496267016527387</v>
      </c>
      <c r="DF10" s="21">
        <f t="shared" si="49"/>
        <v>0</v>
      </c>
      <c r="DG10" s="21">
        <f t="shared" si="50"/>
        <v>0</v>
      </c>
      <c r="DH10" s="21">
        <f t="shared" si="51"/>
        <v>0</v>
      </c>
      <c r="DI10" s="21">
        <f t="shared" si="52"/>
        <v>0</v>
      </c>
      <c r="DJ10" s="21">
        <f t="shared" si="118"/>
        <v>58824.152773822658</v>
      </c>
      <c r="DK10" s="21">
        <f t="shared" si="53"/>
        <v>65106.193235184706</v>
      </c>
      <c r="DL10" s="21">
        <f t="shared" si="54"/>
        <v>31044.167101345683</v>
      </c>
      <c r="DM10" s="21">
        <f t="shared" si="55"/>
        <v>14802.590400807658</v>
      </c>
      <c r="DN10" s="21">
        <f t="shared" si="56"/>
        <v>7058.2239123621021</v>
      </c>
      <c r="DO10" s="21">
        <f t="shared" si="57"/>
        <v>3365.5274818873586</v>
      </c>
      <c r="DP10" s="21">
        <f t="shared" si="58"/>
        <v>1604.7628088846577</v>
      </c>
      <c r="DQ10" s="21">
        <f t="shared" si="59"/>
        <v>2475.5633297531626</v>
      </c>
      <c r="DR10" s="21">
        <f t="shared" si="60"/>
        <v>0</v>
      </c>
      <c r="DS10" s="21">
        <f t="shared" si="61"/>
        <v>5197567.084862452</v>
      </c>
      <c r="DT10" s="21">
        <f t="shared" si="62"/>
        <v>5260710.4297862733</v>
      </c>
      <c r="DU10" s="21">
        <f t="shared" si="63"/>
        <v>4241572.0405659415</v>
      </c>
      <c r="DV10" s="13">
        <f t="shared" si="64"/>
        <v>0</v>
      </c>
      <c r="DW10" s="13">
        <f t="shared" si="65"/>
        <v>0</v>
      </c>
      <c r="DX10" s="13">
        <f t="shared" si="66"/>
        <v>0</v>
      </c>
      <c r="DY10" s="13">
        <f t="shared" si="67"/>
        <v>0</v>
      </c>
      <c r="DZ10" s="13">
        <f t="shared" si="68"/>
        <v>195062.83305014542</v>
      </c>
      <c r="EA10" s="13">
        <f t="shared" si="119"/>
        <v>313771.41194220766</v>
      </c>
      <c r="EB10" s="13">
        <f t="shared" si="69"/>
        <v>208984.26866395472</v>
      </c>
      <c r="EC10" s="13">
        <f t="shared" si="70"/>
        <v>135173.43307533351</v>
      </c>
      <c r="ED10" s="13">
        <f t="shared" si="71"/>
        <v>78227.878381739516</v>
      </c>
      <c r="EE10" s="13">
        <f t="shared" si="72"/>
        <v>44731.456329194989</v>
      </c>
      <c r="EF10" s="13">
        <f t="shared" si="73"/>
        <v>24330.672794879982</v>
      </c>
      <c r="EG10" s="13">
        <f t="shared" si="74"/>
        <v>41701.446494608987</v>
      </c>
      <c r="EH10" s="13">
        <f t="shared" si="75"/>
        <v>0</v>
      </c>
      <c r="EI10" s="13">
        <f t="shared" si="76"/>
        <v>51975.670848624519</v>
      </c>
      <c r="EJ10" s="13">
        <f t="shared" si="77"/>
        <v>105214.20859572547</v>
      </c>
      <c r="EK10" s="13">
        <f t="shared" si="78"/>
        <v>127247.16121697825</v>
      </c>
      <c r="EL10" s="21">
        <f t="shared" si="120"/>
        <v>1041983.4007320647</v>
      </c>
      <c r="EM10" s="21">
        <f t="shared" si="121"/>
        <v>284437.04066132824</v>
      </c>
      <c r="EN10" s="21">
        <f t="shared" si="79"/>
        <v>15629751010.98097</v>
      </c>
      <c r="EO10" s="21">
        <f t="shared" si="80"/>
        <v>6399833414.8798857</v>
      </c>
      <c r="EP10" s="21">
        <f t="shared" si="81"/>
        <v>13377214581.117712</v>
      </c>
      <c r="EQ10" s="21">
        <f t="shared" si="82"/>
        <v>4300757470.4630566</v>
      </c>
      <c r="ER10" s="21">
        <f t="shared" si="83"/>
        <v>9426763788.9251595</v>
      </c>
      <c r="ES10" s="21">
        <f t="shared" si="84"/>
        <v>3030692566.2040973</v>
      </c>
    </row>
    <row r="11" spans="1:149" x14ac:dyDescent="0.25">
      <c r="A11" s="14" t="s">
        <v>54</v>
      </c>
      <c r="B11" s="15"/>
      <c r="O11" s="3">
        <v>9</v>
      </c>
      <c r="P11" s="21">
        <f t="shared" si="122"/>
        <v>450507.28597265156</v>
      </c>
      <c r="Q11" s="21">
        <f t="shared" si="123"/>
        <v>419815.18888336571</v>
      </c>
      <c r="R11" s="13">
        <f t="shared" si="135"/>
        <v>693962.53067500831</v>
      </c>
      <c r="S11" s="13">
        <f t="shared" si="85"/>
        <v>514883.00334966258</v>
      </c>
      <c r="T11" s="13">
        <f t="shared" si="86"/>
        <v>401941.62664154044</v>
      </c>
      <c r="U11" s="13">
        <f t="shared" si="87"/>
        <v>330233.14653978107</v>
      </c>
      <c r="V11" s="13">
        <f t="shared" si="88"/>
        <v>271567.80793683924</v>
      </c>
      <c r="W11" s="13">
        <f t="shared" si="89"/>
        <v>170444.17693556417</v>
      </c>
      <c r="X11" s="13">
        <f t="shared" si="90"/>
        <v>81290.090499611644</v>
      </c>
      <c r="Y11" s="13">
        <f t="shared" si="91"/>
        <v>38761.030675491274</v>
      </c>
      <c r="Z11" s="13">
        <f t="shared" si="92"/>
        <v>18482.172793663616</v>
      </c>
      <c r="AA11" s="13">
        <f t="shared" si="93"/>
        <v>8812.7355032080832</v>
      </c>
      <c r="AB11" s="13">
        <f t="shared" si="94"/>
        <v>4202.1199518343683</v>
      </c>
      <c r="AC11" s="13">
        <f t="shared" si="95"/>
        <v>5538.2190829785659</v>
      </c>
      <c r="AD11" s="13">
        <f t="shared" si="96"/>
        <v>47536682.300409615</v>
      </c>
      <c r="AE11" s="13">
        <f t="shared" si="97"/>
        <v>32749372.789982725</v>
      </c>
      <c r="AF11" s="13">
        <f t="shared" si="98"/>
        <v>18251400.996264189</v>
      </c>
      <c r="AG11" s="13">
        <f t="shared" si="99"/>
        <v>14843507.902181141</v>
      </c>
      <c r="AH11" s="21">
        <f t="shared" si="0"/>
        <v>0</v>
      </c>
      <c r="AI11" s="21">
        <f t="shared" si="1"/>
        <v>1544.6490100489877</v>
      </c>
      <c r="AJ11" s="21">
        <f t="shared" si="2"/>
        <v>19885.533107528845</v>
      </c>
      <c r="AK11" s="21">
        <f t="shared" si="3"/>
        <v>90310.075232668532</v>
      </c>
      <c r="AL11" s="21">
        <f t="shared" si="4"/>
        <v>157023.3651575851</v>
      </c>
      <c r="AM11" s="21">
        <f t="shared" si="5"/>
        <v>138095.66630242497</v>
      </c>
      <c r="AN11" s="21">
        <f t="shared" si="6"/>
        <v>76147.422669057269</v>
      </c>
      <c r="AO11" s="21">
        <f t="shared" si="7"/>
        <v>38159.214672898117</v>
      </c>
      <c r="AP11" s="21">
        <f t="shared" si="8"/>
        <v>18381.97996220323</v>
      </c>
      <c r="AQ11" s="21">
        <f t="shared" si="9"/>
        <v>8786.2972966984598</v>
      </c>
      <c r="AR11" s="21">
        <f t="shared" si="10"/>
        <v>4202.1199518343683</v>
      </c>
      <c r="AS11" s="21">
        <f t="shared" si="11"/>
        <v>5538.2190829785659</v>
      </c>
      <c r="AT11" s="21">
        <f t="shared" si="12"/>
        <v>0</v>
      </c>
      <c r="AU11" s="21">
        <f t="shared" si="13"/>
        <v>16374686.394991362</v>
      </c>
      <c r="AV11" s="21">
        <f t="shared" si="14"/>
        <v>18251400.996264189</v>
      </c>
      <c r="AW11" s="21">
        <f t="shared" si="15"/>
        <v>14843507.902181141</v>
      </c>
      <c r="AX11" s="13">
        <f t="shared" si="100"/>
        <v>0.2</v>
      </c>
      <c r="AY11" s="13">
        <f t="shared" si="124"/>
        <v>0.6</v>
      </c>
      <c r="AZ11" s="13">
        <f t="shared" si="125"/>
        <v>1.2658</v>
      </c>
      <c r="BA11" s="13">
        <f t="shared" si="126"/>
        <v>2.1558806980733034</v>
      </c>
      <c r="BB11" s="13">
        <f t="shared" si="127"/>
        <v>3.3167756555921257</v>
      </c>
      <c r="BC11" s="13">
        <f t="shared" si="128"/>
        <v>4.8207959798024129</v>
      </c>
      <c r="BD11" s="13">
        <f t="shared" si="129"/>
        <v>6.7338966152103019</v>
      </c>
      <c r="BE11" s="13">
        <f t="shared" si="130"/>
        <v>9.1335288660950606</v>
      </c>
      <c r="BF11" s="13">
        <f t="shared" si="131"/>
        <v>11.081898319710655</v>
      </c>
      <c r="BG11" s="13">
        <f t="shared" si="132"/>
        <v>13.280669516499795</v>
      </c>
      <c r="BH11" s="13">
        <f t="shared" si="133"/>
        <v>15.167886565773959</v>
      </c>
      <c r="BI11" s="13">
        <f t="shared" si="134"/>
        <v>16.864273968937248</v>
      </c>
      <c r="BJ11" s="13">
        <f t="shared" si="16"/>
        <v>4.0000000000000001E-3</v>
      </c>
      <c r="BK11" s="13">
        <f t="shared" si="17"/>
        <v>0.01</v>
      </c>
      <c r="BL11" s="13">
        <f t="shared" si="18"/>
        <v>0.02</v>
      </c>
      <c r="BM11" s="13">
        <f t="shared" si="19"/>
        <v>0.03</v>
      </c>
      <c r="BN11" s="30">
        <f t="shared" si="102"/>
        <v>4771265.350677263</v>
      </c>
      <c r="BO11" s="30">
        <f t="shared" si="103"/>
        <v>1327973.7140921836</v>
      </c>
      <c r="BP11" s="30">
        <f t="shared" si="104"/>
        <v>2746165.5798002891</v>
      </c>
      <c r="BQ11" s="30">
        <f t="shared" si="105"/>
        <v>974080.1209406316</v>
      </c>
      <c r="BR11" s="36">
        <f t="shared" si="20"/>
        <v>0.3</v>
      </c>
      <c r="BS11" s="36">
        <f t="shared" si="21"/>
        <v>0.25</v>
      </c>
      <c r="BT11" s="36">
        <f t="shared" si="22"/>
        <v>0.2</v>
      </c>
      <c r="BU11" s="36">
        <f t="shared" si="23"/>
        <v>0.2</v>
      </c>
      <c r="BV11" s="36">
        <f t="shared" si="24"/>
        <v>0.2</v>
      </c>
      <c r="BW11" s="36">
        <f t="shared" si="25"/>
        <v>0.2</v>
      </c>
      <c r="BX11" s="36">
        <f t="shared" si="26"/>
        <v>0.2</v>
      </c>
      <c r="BY11" s="36">
        <f t="shared" si="27"/>
        <v>0.2</v>
      </c>
      <c r="BZ11" s="36">
        <f t="shared" si="28"/>
        <v>0.2</v>
      </c>
      <c r="CA11" s="36">
        <f t="shared" si="29"/>
        <v>0.2</v>
      </c>
      <c r="CB11" s="36">
        <f t="shared" si="30"/>
        <v>0.2</v>
      </c>
      <c r="CC11" s="36">
        <f t="shared" si="31"/>
        <v>0.2</v>
      </c>
      <c r="CD11" s="35">
        <f t="shared" si="32"/>
        <v>0.37081212734473246</v>
      </c>
      <c r="CE11" s="35">
        <f t="shared" si="33"/>
        <v>0.37081212734473246</v>
      </c>
      <c r="CF11" s="35">
        <f t="shared" si="34"/>
        <v>0.37081212734473246</v>
      </c>
      <c r="CG11" s="35">
        <f t="shared" si="35"/>
        <v>0.37081212734473246</v>
      </c>
      <c r="CH11" s="28">
        <f t="shared" si="36"/>
        <v>0</v>
      </c>
      <c r="CI11" s="28">
        <f t="shared" si="37"/>
        <v>0</v>
      </c>
      <c r="CJ11" s="28">
        <f t="shared" si="38"/>
        <v>15552.790583206975</v>
      </c>
      <c r="CK11" s="28">
        <f t="shared" si="39"/>
        <v>23641.185812703217</v>
      </c>
      <c r="CL11" s="28">
        <f t="shared" si="40"/>
        <v>32330.171754792864</v>
      </c>
      <c r="CM11" s="28">
        <f t="shared" si="41"/>
        <v>31726.535809217414</v>
      </c>
      <c r="CN11" s="28">
        <f t="shared" si="42"/>
        <v>22640.886845880341</v>
      </c>
      <c r="CO11" s="28">
        <f t="shared" si="43"/>
        <v>15629.084154175765</v>
      </c>
      <c r="CP11" s="28">
        <f t="shared" si="44"/>
        <v>9585.4098773296118</v>
      </c>
      <c r="CQ11" s="28">
        <f t="shared" si="45"/>
        <v>5780.0776281202625</v>
      </c>
      <c r="CR11" s="28">
        <f t="shared" si="46"/>
        <v>3299.477497844432</v>
      </c>
      <c r="CS11" s="28">
        <f t="shared" si="47"/>
        <v>5050.1424944652908</v>
      </c>
      <c r="CT11" s="44">
        <f t="shared" si="106"/>
        <v>0</v>
      </c>
      <c r="CU11" s="44">
        <f t="shared" si="107"/>
        <v>0</v>
      </c>
      <c r="CV11" s="44">
        <f t="shared" si="108"/>
        <v>3.8694152464773861E-2</v>
      </c>
      <c r="CW11" s="44">
        <f t="shared" si="109"/>
        <v>7.1589378778048607E-2</v>
      </c>
      <c r="CX11" s="44">
        <f t="shared" si="110"/>
        <v>0.11905008918550522</v>
      </c>
      <c r="CY11" s="44">
        <f t="shared" si="111"/>
        <v>0.18614033274490521</v>
      </c>
      <c r="CZ11" s="44">
        <f t="shared" si="112"/>
        <v>0.27851964128381068</v>
      </c>
      <c r="DA11" s="44">
        <f t="shared" si="113"/>
        <v>0.40321642334598923</v>
      </c>
      <c r="DB11" s="44">
        <f t="shared" si="114"/>
        <v>0.51863003253685902</v>
      </c>
      <c r="DC11" s="44">
        <f t="shared" si="115"/>
        <v>0.6558778061608852</v>
      </c>
      <c r="DD11" s="44">
        <f t="shared" si="116"/>
        <v>0.78519355365000898</v>
      </c>
      <c r="DE11" s="44">
        <f t="shared" si="117"/>
        <v>0.91187120242076491</v>
      </c>
      <c r="DF11" s="21">
        <f t="shared" si="49"/>
        <v>0</v>
      </c>
      <c r="DG11" s="21">
        <f t="shared" si="50"/>
        <v>0</v>
      </c>
      <c r="DH11" s="21">
        <f t="shared" si="51"/>
        <v>0</v>
      </c>
      <c r="DI11" s="21">
        <f t="shared" si="52"/>
        <v>0</v>
      </c>
      <c r="DJ11" s="21">
        <f t="shared" si="118"/>
        <v>58560.018555201568</v>
      </c>
      <c r="DK11" s="21">
        <f t="shared" si="53"/>
        <v>65091.544094962752</v>
      </c>
      <c r="DL11" s="21">
        <f t="shared" si="54"/>
        <v>31044.167101345683</v>
      </c>
      <c r="DM11" s="21">
        <f t="shared" si="55"/>
        <v>14802.590400807658</v>
      </c>
      <c r="DN11" s="21">
        <f t="shared" si="56"/>
        <v>7058.2239123621021</v>
      </c>
      <c r="DO11" s="21">
        <f t="shared" si="57"/>
        <v>3365.5274818873586</v>
      </c>
      <c r="DP11" s="21">
        <f t="shared" si="58"/>
        <v>1604.7628088846577</v>
      </c>
      <c r="DQ11" s="21">
        <f t="shared" si="59"/>
        <v>2115.010545555604</v>
      </c>
      <c r="DR11" s="21">
        <f t="shared" si="60"/>
        <v>0</v>
      </c>
      <c r="DS11" s="21">
        <f t="shared" si="61"/>
        <v>5214526.4243869297</v>
      </c>
      <c r="DT11" s="21">
        <f t="shared" si="62"/>
        <v>5295718.3385830559</v>
      </c>
      <c r="DU11" s="21">
        <f t="shared" si="63"/>
        <v>4306904.2766948659</v>
      </c>
      <c r="DV11" s="13">
        <f t="shared" si="64"/>
        <v>0</v>
      </c>
      <c r="DW11" s="13">
        <f t="shared" si="65"/>
        <v>0</v>
      </c>
      <c r="DX11" s="13">
        <f t="shared" si="66"/>
        <v>0</v>
      </c>
      <c r="DY11" s="13">
        <f t="shared" si="67"/>
        <v>0</v>
      </c>
      <c r="DZ11" s="13">
        <f t="shared" si="68"/>
        <v>194230.44393491573</v>
      </c>
      <c r="EA11" s="13">
        <f t="shared" si="119"/>
        <v>313793.05409212795</v>
      </c>
      <c r="EB11" s="13">
        <f t="shared" si="69"/>
        <v>209048.2117657747</v>
      </c>
      <c r="EC11" s="13">
        <f t="shared" si="70"/>
        <v>135199.88671875838</v>
      </c>
      <c r="ED11" s="13">
        <f t="shared" si="71"/>
        <v>78218.519714547147</v>
      </c>
      <c r="EE11" s="13">
        <f t="shared" si="72"/>
        <v>44696.45823564376</v>
      </c>
      <c r="EF11" s="13">
        <f t="shared" si="73"/>
        <v>24340.860250135283</v>
      </c>
      <c r="EG11" s="13">
        <f t="shared" si="74"/>
        <v>35668.117287441142</v>
      </c>
      <c r="EH11" s="13">
        <f t="shared" si="75"/>
        <v>0</v>
      </c>
      <c r="EI11" s="13">
        <f t="shared" si="76"/>
        <v>52145.2642438693</v>
      </c>
      <c r="EJ11" s="13">
        <f t="shared" si="77"/>
        <v>105914.36677166112</v>
      </c>
      <c r="EK11" s="13">
        <f t="shared" si="78"/>
        <v>129207.12830084597</v>
      </c>
      <c r="EL11" s="21">
        <f t="shared" si="120"/>
        <v>1035195.5519993441</v>
      </c>
      <c r="EM11" s="21">
        <f t="shared" si="121"/>
        <v>287266.75931637641</v>
      </c>
      <c r="EN11" s="21">
        <f t="shared" si="79"/>
        <v>15527933279.990162</v>
      </c>
      <c r="EO11" s="21">
        <f t="shared" si="80"/>
        <v>6463502084.6184692</v>
      </c>
      <c r="EP11" s="21">
        <f t="shared" si="81"/>
        <v>13275396850.126904</v>
      </c>
      <c r="EQ11" s="21">
        <f t="shared" si="82"/>
        <v>4364426140.2016411</v>
      </c>
      <c r="ER11" s="21">
        <f t="shared" si="83"/>
        <v>8898764627.7184467</v>
      </c>
      <c r="ES11" s="21">
        <f t="shared" si="84"/>
        <v>2925562331.2191119</v>
      </c>
    </row>
    <row r="12" spans="1:149" x14ac:dyDescent="0.25">
      <c r="A12" s="16" t="s">
        <v>55</v>
      </c>
      <c r="B12" s="28">
        <f>AVERAGE(BN3:BN102)</f>
        <v>4750883.708253121</v>
      </c>
      <c r="O12" s="3">
        <v>10</v>
      </c>
      <c r="P12" s="21">
        <f t="shared" si="122"/>
        <v>450507.28597265156</v>
      </c>
      <c r="Q12" s="21">
        <f t="shared" si="123"/>
        <v>419815.18888336571</v>
      </c>
      <c r="R12" s="13">
        <f t="shared" si="135"/>
        <v>693295.25306639308</v>
      </c>
      <c r="S12" s="13">
        <f t="shared" si="85"/>
        <v>514100.0871944417</v>
      </c>
      <c r="T12" s="13">
        <f t="shared" si="86"/>
        <v>400991.286198874</v>
      </c>
      <c r="U12" s="13">
        <f t="shared" si="87"/>
        <v>329081.97067361738</v>
      </c>
      <c r="V12" s="13">
        <f t="shared" si="88"/>
        <v>270372.0327578265</v>
      </c>
      <c r="W12" s="13">
        <f t="shared" si="89"/>
        <v>169678.84267454231</v>
      </c>
      <c r="X12" s="13">
        <f t="shared" si="90"/>
        <v>81271.799921170314</v>
      </c>
      <c r="Y12" s="13">
        <f t="shared" si="91"/>
        <v>38761.030675491274</v>
      </c>
      <c r="Z12" s="13">
        <f t="shared" si="92"/>
        <v>18482.172793663616</v>
      </c>
      <c r="AA12" s="13">
        <f t="shared" si="93"/>
        <v>8812.7355032080832</v>
      </c>
      <c r="AB12" s="13">
        <f t="shared" si="94"/>
        <v>4202.1199518343683</v>
      </c>
      <c r="AC12" s="13">
        <f t="shared" si="95"/>
        <v>5088.0411966531974</v>
      </c>
      <c r="AD12" s="13">
        <f t="shared" si="96"/>
        <v>47558784.758263133</v>
      </c>
      <c r="AE12" s="13">
        <f t="shared" si="97"/>
        <v>32808562.876054142</v>
      </c>
      <c r="AF12" s="13">
        <f t="shared" si="98"/>
        <v>18323128.029890511</v>
      </c>
      <c r="AG12" s="13">
        <f t="shared" si="99"/>
        <v>15010532.848922066</v>
      </c>
      <c r="AH12" s="21">
        <f t="shared" si="0"/>
        <v>0</v>
      </c>
      <c r="AI12" s="21">
        <f t="shared" si="1"/>
        <v>1542.3002615833252</v>
      </c>
      <c r="AJ12" s="21">
        <f t="shared" si="2"/>
        <v>19838.516264575876</v>
      </c>
      <c r="AK12" s="21">
        <f t="shared" si="3"/>
        <v>89995.258927374496</v>
      </c>
      <c r="AL12" s="21">
        <f t="shared" si="4"/>
        <v>156331.95536197277</v>
      </c>
      <c r="AM12" s="21">
        <f t="shared" si="5"/>
        <v>137475.58442799494</v>
      </c>
      <c r="AN12" s="21">
        <f t="shared" si="6"/>
        <v>76130.289210367861</v>
      </c>
      <c r="AO12" s="21">
        <f t="shared" si="7"/>
        <v>38159.214672898117</v>
      </c>
      <c r="AP12" s="21">
        <f t="shared" si="8"/>
        <v>18381.97996220323</v>
      </c>
      <c r="AQ12" s="21">
        <f t="shared" si="9"/>
        <v>8786.2972966984598</v>
      </c>
      <c r="AR12" s="21">
        <f t="shared" si="10"/>
        <v>4202.1199518343683</v>
      </c>
      <c r="AS12" s="21">
        <f t="shared" si="11"/>
        <v>5088.0411966531974</v>
      </c>
      <c r="AT12" s="21">
        <f t="shared" si="12"/>
        <v>0</v>
      </c>
      <c r="AU12" s="21">
        <f t="shared" si="13"/>
        <v>16404281.438027071</v>
      </c>
      <c r="AV12" s="21">
        <f t="shared" si="14"/>
        <v>18323128.029890511</v>
      </c>
      <c r="AW12" s="21">
        <f t="shared" si="15"/>
        <v>15010532.848922066</v>
      </c>
      <c r="AX12" s="13">
        <f t="shared" si="100"/>
        <v>0.2</v>
      </c>
      <c r="AY12" s="13">
        <f t="shared" si="124"/>
        <v>0.6</v>
      </c>
      <c r="AZ12" s="13">
        <f t="shared" si="125"/>
        <v>1.2658</v>
      </c>
      <c r="BA12" s="13">
        <f t="shared" si="126"/>
        <v>2.1560859067253415</v>
      </c>
      <c r="BB12" s="13">
        <f t="shared" si="127"/>
        <v>3.3173820067034741</v>
      </c>
      <c r="BC12" s="13">
        <f t="shared" si="128"/>
        <v>4.8220437055360081</v>
      </c>
      <c r="BD12" s="13">
        <f t="shared" si="129"/>
        <v>6.7360047428474159</v>
      </c>
      <c r="BE12" s="13">
        <f t="shared" si="130"/>
        <v>9.136474864549502</v>
      </c>
      <c r="BF12" s="13">
        <f t="shared" si="131"/>
        <v>11.084754614266156</v>
      </c>
      <c r="BG12" s="13">
        <f t="shared" si="132"/>
        <v>13.280718831098556</v>
      </c>
      <c r="BH12" s="13">
        <f t="shared" si="133"/>
        <v>15.159226748656105</v>
      </c>
      <c r="BI12" s="13">
        <f t="shared" si="134"/>
        <v>16.872704309551462</v>
      </c>
      <c r="BJ12" s="13">
        <f t="shared" si="16"/>
        <v>4.0000000000000001E-3</v>
      </c>
      <c r="BK12" s="13">
        <f t="shared" si="17"/>
        <v>0.01</v>
      </c>
      <c r="BL12" s="13">
        <f t="shared" si="18"/>
        <v>0.02</v>
      </c>
      <c r="BM12" s="13">
        <f t="shared" si="19"/>
        <v>0.03</v>
      </c>
      <c r="BN12" s="30">
        <f t="shared" si="102"/>
        <v>4752395.1125227716</v>
      </c>
      <c r="BO12" s="30">
        <f t="shared" si="103"/>
        <v>1335099.3138590662</v>
      </c>
      <c r="BP12" s="30">
        <f t="shared" si="104"/>
        <v>2733053.2557119303</v>
      </c>
      <c r="BQ12" s="30">
        <f t="shared" si="105"/>
        <v>980821.36044574296</v>
      </c>
      <c r="BR12" s="36">
        <f t="shared" si="20"/>
        <v>0.3</v>
      </c>
      <c r="BS12" s="36">
        <f t="shared" si="21"/>
        <v>0.25</v>
      </c>
      <c r="BT12" s="36">
        <f t="shared" si="22"/>
        <v>0.2</v>
      </c>
      <c r="BU12" s="36">
        <f t="shared" si="23"/>
        <v>0.2</v>
      </c>
      <c r="BV12" s="36">
        <f t="shared" si="24"/>
        <v>0.2</v>
      </c>
      <c r="BW12" s="36">
        <f t="shared" si="25"/>
        <v>0.2</v>
      </c>
      <c r="BX12" s="36">
        <f t="shared" si="26"/>
        <v>0.2</v>
      </c>
      <c r="BY12" s="36">
        <f t="shared" si="27"/>
        <v>0.2</v>
      </c>
      <c r="BZ12" s="36">
        <f t="shared" si="28"/>
        <v>0.2</v>
      </c>
      <c r="CA12" s="36">
        <f t="shared" si="29"/>
        <v>0.2</v>
      </c>
      <c r="CB12" s="36">
        <f t="shared" si="30"/>
        <v>0.2</v>
      </c>
      <c r="CC12" s="36">
        <f t="shared" si="31"/>
        <v>0.2</v>
      </c>
      <c r="CD12" s="35">
        <f t="shared" si="32"/>
        <v>0.36996486771249826</v>
      </c>
      <c r="CE12" s="35">
        <f t="shared" si="33"/>
        <v>0.36996486771249826</v>
      </c>
      <c r="CF12" s="35">
        <f t="shared" si="34"/>
        <v>0.36996486771249826</v>
      </c>
      <c r="CG12" s="35">
        <f t="shared" si="35"/>
        <v>0.36996486771249826</v>
      </c>
      <c r="CH12" s="28">
        <f t="shared" si="36"/>
        <v>0</v>
      </c>
      <c r="CI12" s="28">
        <f t="shared" si="37"/>
        <v>0</v>
      </c>
      <c r="CJ12" s="28">
        <f t="shared" si="38"/>
        <v>15601.734129034869</v>
      </c>
      <c r="CK12" s="28">
        <f t="shared" si="39"/>
        <v>23688.921139417955</v>
      </c>
      <c r="CL12" s="28">
        <f t="shared" si="40"/>
        <v>32365.631885290371</v>
      </c>
      <c r="CM12" s="28">
        <f t="shared" si="41"/>
        <v>31758.558235580451</v>
      </c>
      <c r="CN12" s="28">
        <f t="shared" si="42"/>
        <v>22760.840965829309</v>
      </c>
      <c r="CO12" s="28">
        <f t="shared" si="43"/>
        <v>15715.42493700806</v>
      </c>
      <c r="CP12" s="28">
        <f t="shared" si="44"/>
        <v>9638.3631908067782</v>
      </c>
      <c r="CQ12" s="28">
        <f t="shared" si="45"/>
        <v>5812.0088930824531</v>
      </c>
      <c r="CR12" s="28">
        <f t="shared" si="46"/>
        <v>3317.7050195143652</v>
      </c>
      <c r="CS12" s="28">
        <f t="shared" si="47"/>
        <v>4665.2693042363117</v>
      </c>
      <c r="CT12" s="44">
        <f t="shared" si="106"/>
        <v>0</v>
      </c>
      <c r="CU12" s="44">
        <f t="shared" si="107"/>
        <v>0</v>
      </c>
      <c r="CV12" s="44">
        <f t="shared" si="108"/>
        <v>3.8907913129306998E-2</v>
      </c>
      <c r="CW12" s="44">
        <f t="shared" si="109"/>
        <v>7.1984864716008901E-2</v>
      </c>
      <c r="CX12" s="44">
        <f t="shared" si="110"/>
        <v>0.11970776546359889</v>
      </c>
      <c r="CY12" s="44">
        <f t="shared" si="111"/>
        <v>0.18716864009083281</v>
      </c>
      <c r="CZ12" s="44">
        <f t="shared" si="112"/>
        <v>0.28005828575109959</v>
      </c>
      <c r="DA12" s="44">
        <f t="shared" si="113"/>
        <v>0.40544393849013344</v>
      </c>
      <c r="DB12" s="44">
        <f t="shared" si="114"/>
        <v>0.52149513471225484</v>
      </c>
      <c r="DC12" s="44">
        <f t="shared" si="115"/>
        <v>0.6595011152855681</v>
      </c>
      <c r="DD12" s="44">
        <f t="shared" si="116"/>
        <v>0.7895312503076154</v>
      </c>
      <c r="DE12" s="44">
        <f t="shared" si="117"/>
        <v>0.91690871278814023</v>
      </c>
      <c r="DF12" s="21">
        <f t="shared" si="49"/>
        <v>0</v>
      </c>
      <c r="DG12" s="21">
        <f t="shared" si="50"/>
        <v>0</v>
      </c>
      <c r="DH12" s="21">
        <f t="shared" si="51"/>
        <v>0</v>
      </c>
      <c r="DI12" s="21">
        <f t="shared" si="52"/>
        <v>0</v>
      </c>
      <c r="DJ12" s="21">
        <f t="shared" si="118"/>
        <v>58302.165397999954</v>
      </c>
      <c r="DK12" s="21">
        <f t="shared" si="53"/>
        <v>64799.267821907531</v>
      </c>
      <c r="DL12" s="21">
        <f t="shared" si="54"/>
        <v>31037.182046094505</v>
      </c>
      <c r="DM12" s="21">
        <f t="shared" si="55"/>
        <v>14802.590400807658</v>
      </c>
      <c r="DN12" s="21">
        <f t="shared" si="56"/>
        <v>7058.2239123621021</v>
      </c>
      <c r="DO12" s="21">
        <f t="shared" si="57"/>
        <v>3365.5274818873586</v>
      </c>
      <c r="DP12" s="21">
        <f t="shared" si="58"/>
        <v>1604.7628088846577</v>
      </c>
      <c r="DQ12" s="21">
        <f t="shared" si="59"/>
        <v>1943.0904819596346</v>
      </c>
      <c r="DR12" s="21">
        <f t="shared" si="60"/>
        <v>0</v>
      </c>
      <c r="DS12" s="21">
        <f t="shared" si="61"/>
        <v>5225951.54091975</v>
      </c>
      <c r="DT12" s="21">
        <f t="shared" si="62"/>
        <v>5318489.251376586</v>
      </c>
      <c r="DU12" s="21">
        <f t="shared" si="63"/>
        <v>4356972.1001891727</v>
      </c>
      <c r="DV12" s="13">
        <f t="shared" si="64"/>
        <v>0</v>
      </c>
      <c r="DW12" s="13">
        <f t="shared" si="65"/>
        <v>0</v>
      </c>
      <c r="DX12" s="13">
        <f t="shared" si="66"/>
        <v>0</v>
      </c>
      <c r="DY12" s="13">
        <f t="shared" si="67"/>
        <v>0</v>
      </c>
      <c r="DZ12" s="13">
        <f t="shared" si="68"/>
        <v>193410.55444317494</v>
      </c>
      <c r="EA12" s="13">
        <f t="shared" si="119"/>
        <v>312464.90152397123</v>
      </c>
      <c r="EB12" s="13">
        <f t="shared" si="69"/>
        <v>209066.60546711125</v>
      </c>
      <c r="EC12" s="13">
        <f t="shared" si="70"/>
        <v>135243.49512720091</v>
      </c>
      <c r="ED12" s="13">
        <f t="shared" si="71"/>
        <v>78238.680081079539</v>
      </c>
      <c r="EE12" s="13">
        <f t="shared" si="72"/>
        <v>44696.624205281143</v>
      </c>
      <c r="EF12" s="13">
        <f t="shared" si="73"/>
        <v>24326.963297692808</v>
      </c>
      <c r="EG12" s="13">
        <f t="shared" si="74"/>
        <v>32785.191148808757</v>
      </c>
      <c r="EH12" s="13">
        <f t="shared" si="75"/>
        <v>0</v>
      </c>
      <c r="EI12" s="13">
        <f t="shared" si="76"/>
        <v>52259.515409197498</v>
      </c>
      <c r="EJ12" s="13">
        <f t="shared" si="77"/>
        <v>106369.78502753172</v>
      </c>
      <c r="EK12" s="13">
        <f t="shared" si="78"/>
        <v>130709.16300567517</v>
      </c>
      <c r="EL12" s="21">
        <f t="shared" si="120"/>
        <v>1030233.0152943206</v>
      </c>
      <c r="EM12" s="21">
        <f t="shared" si="121"/>
        <v>289338.46344240441</v>
      </c>
      <c r="EN12" s="21">
        <f t="shared" si="79"/>
        <v>15453495229.41481</v>
      </c>
      <c r="EO12" s="21">
        <f t="shared" si="80"/>
        <v>6510115427.4540987</v>
      </c>
      <c r="EP12" s="21">
        <f t="shared" si="81"/>
        <v>13200958799.551552</v>
      </c>
      <c r="EQ12" s="21">
        <f t="shared" si="82"/>
        <v>4411039483.0372696</v>
      </c>
      <c r="ER12" s="21">
        <f t="shared" si="83"/>
        <v>8417302958.9932394</v>
      </c>
      <c r="ES12" s="21">
        <f t="shared" si="84"/>
        <v>2812602952.2997169</v>
      </c>
    </row>
    <row r="13" spans="1:149" x14ac:dyDescent="0.25">
      <c r="A13" s="16" t="s">
        <v>56</v>
      </c>
      <c r="B13" s="28">
        <f>AVERAGE(BP3:BP102)</f>
        <v>2739886.8565247096</v>
      </c>
      <c r="O13" s="3">
        <v>11</v>
      </c>
      <c r="P13" s="21">
        <f t="shared" si="122"/>
        <v>450507.28597265156</v>
      </c>
      <c r="Q13" s="21">
        <f t="shared" si="123"/>
        <v>419815.18888336571</v>
      </c>
      <c r="R13" s="13">
        <f t="shared" si="135"/>
        <v>692921.92256516032</v>
      </c>
      <c r="S13" s="13">
        <f t="shared" si="85"/>
        <v>513605.75578372664</v>
      </c>
      <c r="T13" s="13">
        <f t="shared" si="86"/>
        <v>400381.55048410874</v>
      </c>
      <c r="U13" s="13">
        <f t="shared" si="87"/>
        <v>328303.89772731264</v>
      </c>
      <c r="V13" s="13">
        <f t="shared" si="88"/>
        <v>269429.52967399708</v>
      </c>
      <c r="W13" s="13">
        <f t="shared" si="89"/>
        <v>168931.70791650421</v>
      </c>
      <c r="X13" s="13">
        <f t="shared" si="90"/>
        <v>80906.870511125991</v>
      </c>
      <c r="Y13" s="13">
        <f t="shared" si="91"/>
        <v>38752.30929669</v>
      </c>
      <c r="Z13" s="13">
        <f t="shared" si="92"/>
        <v>18482.172793663616</v>
      </c>
      <c r="AA13" s="13">
        <f t="shared" si="93"/>
        <v>8812.7355032080832</v>
      </c>
      <c r="AB13" s="13">
        <f t="shared" si="94"/>
        <v>4202.1199518343683</v>
      </c>
      <c r="AC13" s="13">
        <f t="shared" si="95"/>
        <v>4873.3857724306245</v>
      </c>
      <c r="AD13" s="13">
        <f t="shared" si="96"/>
        <v>47574749.519238755</v>
      </c>
      <c r="AE13" s="13">
        <f t="shared" si="97"/>
        <v>32851639.488894556</v>
      </c>
      <c r="AF13" s="13">
        <f t="shared" si="98"/>
        <v>18371803.714519933</v>
      </c>
      <c r="AG13" s="13">
        <f t="shared" si="99"/>
        <v>15131636.235169493</v>
      </c>
      <c r="AH13" s="21">
        <f t="shared" si="0"/>
        <v>0</v>
      </c>
      <c r="AI13" s="21">
        <f t="shared" si="1"/>
        <v>1540.8172673511799</v>
      </c>
      <c r="AJ13" s="21">
        <f t="shared" si="2"/>
        <v>19808.3503923717</v>
      </c>
      <c r="AK13" s="21">
        <f t="shared" si="3"/>
        <v>89782.476452164003</v>
      </c>
      <c r="AL13" s="21">
        <f t="shared" si="4"/>
        <v>155786.99015781752</v>
      </c>
      <c r="AM13" s="21">
        <f t="shared" si="5"/>
        <v>136870.24798245609</v>
      </c>
      <c r="AN13" s="21">
        <f t="shared" si="6"/>
        <v>75788.446387211603</v>
      </c>
      <c r="AO13" s="21">
        <f t="shared" si="7"/>
        <v>38150.628704978233</v>
      </c>
      <c r="AP13" s="21">
        <f t="shared" si="8"/>
        <v>18381.97996220323</v>
      </c>
      <c r="AQ13" s="21">
        <f t="shared" si="9"/>
        <v>8786.2972966984598</v>
      </c>
      <c r="AR13" s="21">
        <f t="shared" si="10"/>
        <v>4202.1199518343683</v>
      </c>
      <c r="AS13" s="21">
        <f t="shared" si="11"/>
        <v>4873.3857724306245</v>
      </c>
      <c r="AT13" s="21">
        <f t="shared" si="12"/>
        <v>0</v>
      </c>
      <c r="AU13" s="21">
        <f t="shared" si="13"/>
        <v>16425819.744447278</v>
      </c>
      <c r="AV13" s="21">
        <f t="shared" si="14"/>
        <v>18371803.714519933</v>
      </c>
      <c r="AW13" s="21">
        <f t="shared" si="15"/>
        <v>15131636.235169493</v>
      </c>
      <c r="AX13" s="13">
        <f t="shared" si="100"/>
        <v>0.2</v>
      </c>
      <c r="AY13" s="13">
        <f t="shared" si="124"/>
        <v>0.6</v>
      </c>
      <c r="AZ13" s="13">
        <f t="shared" si="125"/>
        <v>1.2658</v>
      </c>
      <c r="BA13" s="13">
        <f t="shared" si="126"/>
        <v>2.156235539190515</v>
      </c>
      <c r="BB13" s="13">
        <f t="shared" si="127"/>
        <v>3.3178363714964272</v>
      </c>
      <c r="BC13" s="13">
        <f t="shared" si="128"/>
        <v>4.8230183553630903</v>
      </c>
      <c r="BD13" s="13">
        <f t="shared" si="129"/>
        <v>6.7377563391805158</v>
      </c>
      <c r="BE13" s="13">
        <f t="shared" si="130"/>
        <v>9.1392292228628769</v>
      </c>
      <c r="BF13" s="13">
        <f t="shared" si="131"/>
        <v>11.088480243021049</v>
      </c>
      <c r="BG13" s="13">
        <f t="shared" si="132"/>
        <v>13.284577911415447</v>
      </c>
      <c r="BH13" s="13">
        <f t="shared" si="133"/>
        <v>15.160544221448504</v>
      </c>
      <c r="BI13" s="13">
        <f t="shared" si="134"/>
        <v>16.865562686263768</v>
      </c>
      <c r="BJ13" s="13">
        <f t="shared" si="16"/>
        <v>4.0000000000000001E-3</v>
      </c>
      <c r="BK13" s="13">
        <f t="shared" si="17"/>
        <v>0.01</v>
      </c>
      <c r="BL13" s="13">
        <f t="shared" si="18"/>
        <v>0.02</v>
      </c>
      <c r="BM13" s="13">
        <f t="shared" si="19"/>
        <v>0.03</v>
      </c>
      <c r="BN13" s="30">
        <f t="shared" si="102"/>
        <v>4737343.6728280736</v>
      </c>
      <c r="BO13" s="30">
        <f t="shared" si="103"/>
        <v>1340200.554311384</v>
      </c>
      <c r="BP13" s="30">
        <f t="shared" si="104"/>
        <v>2722354.2443192583</v>
      </c>
      <c r="BQ13" s="30">
        <f t="shared" si="105"/>
        <v>985643.3587899562</v>
      </c>
      <c r="BR13" s="36">
        <f t="shared" si="20"/>
        <v>0.3</v>
      </c>
      <c r="BS13" s="36">
        <f t="shared" si="21"/>
        <v>0.25</v>
      </c>
      <c r="BT13" s="36">
        <f t="shared" si="22"/>
        <v>0.2</v>
      </c>
      <c r="BU13" s="36">
        <f t="shared" si="23"/>
        <v>0.2</v>
      </c>
      <c r="BV13" s="36">
        <f t="shared" si="24"/>
        <v>0.2</v>
      </c>
      <c r="BW13" s="36">
        <f t="shared" si="25"/>
        <v>0.2</v>
      </c>
      <c r="BX13" s="36">
        <f t="shared" si="26"/>
        <v>0.2</v>
      </c>
      <c r="BY13" s="36">
        <f t="shared" si="27"/>
        <v>0.2</v>
      </c>
      <c r="BZ13" s="36">
        <f t="shared" si="28"/>
        <v>0.2</v>
      </c>
      <c r="CA13" s="36">
        <f t="shared" si="29"/>
        <v>0.2</v>
      </c>
      <c r="CB13" s="36">
        <f t="shared" si="30"/>
        <v>0.2</v>
      </c>
      <c r="CC13" s="36">
        <f t="shared" si="31"/>
        <v>0.2</v>
      </c>
      <c r="CD13" s="35">
        <f t="shared" si="32"/>
        <v>0.36931209035431989</v>
      </c>
      <c r="CE13" s="35">
        <f t="shared" si="33"/>
        <v>0.36931209035431989</v>
      </c>
      <c r="CF13" s="35">
        <f t="shared" si="34"/>
        <v>0.36931209035431989</v>
      </c>
      <c r="CG13" s="35">
        <f t="shared" si="35"/>
        <v>0.36931209035431989</v>
      </c>
      <c r="CH13" s="28">
        <f t="shared" si="36"/>
        <v>0</v>
      </c>
      <c r="CI13" s="28">
        <f t="shared" si="37"/>
        <v>0</v>
      </c>
      <c r="CJ13" s="28">
        <f t="shared" si="38"/>
        <v>15639.650429377634</v>
      </c>
      <c r="CK13" s="28">
        <f t="shared" si="39"/>
        <v>23726.423540115589</v>
      </c>
      <c r="CL13" s="28">
        <f t="shared" si="40"/>
        <v>32380.426452649968</v>
      </c>
      <c r="CM13" s="28">
        <f t="shared" si="41"/>
        <v>31743.828549994076</v>
      </c>
      <c r="CN13" s="28">
        <f t="shared" si="42"/>
        <v>22748.296288756912</v>
      </c>
      <c r="CO13" s="28">
        <f t="shared" si="43"/>
        <v>15774.058487784125</v>
      </c>
      <c r="CP13" s="28">
        <f t="shared" si="44"/>
        <v>9676.5007441037633</v>
      </c>
      <c r="CQ13" s="28">
        <f t="shared" si="45"/>
        <v>5835.0061380019961</v>
      </c>
      <c r="CR13" s="28">
        <f t="shared" si="46"/>
        <v>3330.8326792114076</v>
      </c>
      <c r="CS13" s="28">
        <f t="shared" si="47"/>
        <v>4486.1308595110677</v>
      </c>
      <c r="CT13" s="44">
        <f t="shared" si="106"/>
        <v>0</v>
      </c>
      <c r="CU13" s="44">
        <f t="shared" si="107"/>
        <v>0</v>
      </c>
      <c r="CV13" s="44">
        <f t="shared" si="108"/>
        <v>3.9061865888843889E-2</v>
      </c>
      <c r="CW13" s="44">
        <f t="shared" si="109"/>
        <v>7.2269697997379923E-2</v>
      </c>
      <c r="CX13" s="44">
        <f t="shared" si="110"/>
        <v>0.12018143108451945</v>
      </c>
      <c r="CY13" s="44">
        <f t="shared" si="111"/>
        <v>0.18790923824486347</v>
      </c>
      <c r="CZ13" s="44">
        <f t="shared" si="112"/>
        <v>0.2811664342600998</v>
      </c>
      <c r="DA13" s="44">
        <f t="shared" si="113"/>
        <v>0.407048219165908</v>
      </c>
      <c r="DB13" s="44">
        <f t="shared" si="114"/>
        <v>0.52355861251449998</v>
      </c>
      <c r="DC13" s="44">
        <f t="shared" si="115"/>
        <v>0.66211066199341739</v>
      </c>
      <c r="DD13" s="44">
        <f t="shared" si="116"/>
        <v>0.79265530669998741</v>
      </c>
      <c r="DE13" s="44">
        <f t="shared" si="117"/>
        <v>0.92053678263881589</v>
      </c>
      <c r="DF13" s="21">
        <f t="shared" si="49"/>
        <v>0</v>
      </c>
      <c r="DG13" s="21">
        <f t="shared" si="50"/>
        <v>0</v>
      </c>
      <c r="DH13" s="21">
        <f t="shared" si="51"/>
        <v>0</v>
      </c>
      <c r="DI13" s="21">
        <f t="shared" si="52"/>
        <v>0</v>
      </c>
      <c r="DJ13" s="21">
        <f t="shared" si="118"/>
        <v>58098.927030033228</v>
      </c>
      <c r="DK13" s="21">
        <f t="shared" si="53"/>
        <v>64513.941822967121</v>
      </c>
      <c r="DL13" s="21">
        <f t="shared" si="54"/>
        <v>30897.817831883607</v>
      </c>
      <c r="DM13" s="21">
        <f t="shared" si="55"/>
        <v>14799.259761867574</v>
      </c>
      <c r="DN13" s="21">
        <f t="shared" si="56"/>
        <v>7058.2239123621021</v>
      </c>
      <c r="DO13" s="21">
        <f t="shared" si="57"/>
        <v>3365.5274818873586</v>
      </c>
      <c r="DP13" s="21">
        <f t="shared" si="58"/>
        <v>1604.7628088846577</v>
      </c>
      <c r="DQ13" s="21">
        <f t="shared" si="59"/>
        <v>1861.1149445008884</v>
      </c>
      <c r="DR13" s="21">
        <f t="shared" si="60"/>
        <v>0</v>
      </c>
      <c r="DS13" s="21">
        <f t="shared" si="61"/>
        <v>5234357.1552939378</v>
      </c>
      <c r="DT13" s="21">
        <f t="shared" si="62"/>
        <v>5334131.9605767801</v>
      </c>
      <c r="DU13" s="21">
        <f t="shared" si="63"/>
        <v>4393370.7169997599</v>
      </c>
      <c r="DV13" s="13">
        <f t="shared" si="64"/>
        <v>0</v>
      </c>
      <c r="DW13" s="13">
        <f t="shared" si="65"/>
        <v>0</v>
      </c>
      <c r="DX13" s="13">
        <f t="shared" si="66"/>
        <v>0</v>
      </c>
      <c r="DY13" s="13">
        <f t="shared" si="67"/>
        <v>0</v>
      </c>
      <c r="DZ13" s="13">
        <f t="shared" si="68"/>
        <v>192762.73324516113</v>
      </c>
      <c r="EA13" s="13">
        <f t="shared" si="119"/>
        <v>311151.92558899696</v>
      </c>
      <c r="EB13" s="13">
        <f t="shared" si="69"/>
        <v>208181.96796361855</v>
      </c>
      <c r="EC13" s="13">
        <f t="shared" si="70"/>
        <v>135253.82729239884</v>
      </c>
      <c r="ED13" s="13">
        <f t="shared" si="71"/>
        <v>78264.976403045905</v>
      </c>
      <c r="EE13" s="13">
        <f t="shared" si="72"/>
        <v>44709.612046142451</v>
      </c>
      <c r="EF13" s="13">
        <f t="shared" si="73"/>
        <v>24329.077529031769</v>
      </c>
      <c r="EG13" s="13">
        <f t="shared" si="74"/>
        <v>31388.750762822048</v>
      </c>
      <c r="EH13" s="13">
        <f t="shared" si="75"/>
        <v>0</v>
      </c>
      <c r="EI13" s="13">
        <f t="shared" si="76"/>
        <v>52343.571552939378</v>
      </c>
      <c r="EJ13" s="13">
        <f t="shared" si="77"/>
        <v>106682.6392115356</v>
      </c>
      <c r="EK13" s="13">
        <f t="shared" si="78"/>
        <v>131801.12150999278</v>
      </c>
      <c r="EL13" s="21">
        <f t="shared" si="120"/>
        <v>1026042.8708312176</v>
      </c>
      <c r="EM13" s="21">
        <f t="shared" si="121"/>
        <v>290827.3322744678</v>
      </c>
      <c r="EN13" s="21">
        <f t="shared" si="79"/>
        <v>15390643062.468264</v>
      </c>
      <c r="EO13" s="21">
        <f t="shared" si="80"/>
        <v>6543614976.1755257</v>
      </c>
      <c r="EP13" s="21">
        <f t="shared" si="81"/>
        <v>13138106632.605005</v>
      </c>
      <c r="EQ13" s="21">
        <f t="shared" si="82"/>
        <v>4444539031.7586975</v>
      </c>
      <c r="ER13" s="21">
        <f t="shared" si="83"/>
        <v>7968664483.2488384</v>
      </c>
      <c r="ES13" s="21">
        <f t="shared" si="84"/>
        <v>2695749191.0511518</v>
      </c>
    </row>
    <row r="14" spans="1:149" x14ac:dyDescent="0.25">
      <c r="A14" s="16" t="s">
        <v>57</v>
      </c>
      <c r="B14" s="28">
        <f>AVERAGE(BO3:BO102)</f>
        <v>1358267.5609468783</v>
      </c>
      <c r="O14" s="3">
        <v>12</v>
      </c>
      <c r="P14" s="21">
        <f t="shared" si="122"/>
        <v>450507.28597265156</v>
      </c>
      <c r="Q14" s="21">
        <f t="shared" si="123"/>
        <v>419815.18888336571</v>
      </c>
      <c r="R14" s="13">
        <f t="shared" si="135"/>
        <v>692712.36819054524</v>
      </c>
      <c r="S14" s="13">
        <f t="shared" si="85"/>
        <v>513329.18574607716</v>
      </c>
      <c r="T14" s="13">
        <f t="shared" si="86"/>
        <v>399996.56479434704</v>
      </c>
      <c r="U14" s="13">
        <f t="shared" si="87"/>
        <v>327804.68834638433</v>
      </c>
      <c r="V14" s="13">
        <f t="shared" si="88"/>
        <v>268792.49742471939</v>
      </c>
      <c r="W14" s="13">
        <f t="shared" si="89"/>
        <v>168342.82061908729</v>
      </c>
      <c r="X14" s="13">
        <f t="shared" si="90"/>
        <v>80550.61905295866</v>
      </c>
      <c r="Y14" s="13">
        <f t="shared" si="91"/>
        <v>38578.30235475918</v>
      </c>
      <c r="Z14" s="13">
        <f t="shared" si="92"/>
        <v>18478.01423474</v>
      </c>
      <c r="AA14" s="13">
        <f t="shared" si="93"/>
        <v>8812.7355032080832</v>
      </c>
      <c r="AB14" s="13">
        <f t="shared" si="94"/>
        <v>4202.1199518343683</v>
      </c>
      <c r="AC14" s="13">
        <f t="shared" si="95"/>
        <v>4771.0330080061403</v>
      </c>
      <c r="AD14" s="13">
        <f t="shared" si="96"/>
        <v>47586041.585859254</v>
      </c>
      <c r="AE14" s="13">
        <f t="shared" si="97"/>
        <v>32884126.293153983</v>
      </c>
      <c r="AF14" s="13">
        <f t="shared" si="98"/>
        <v>18407937.679709319</v>
      </c>
      <c r="AG14" s="13">
        <f t="shared" si="99"/>
        <v>15218637.672404718</v>
      </c>
      <c r="AH14" s="21">
        <f t="shared" si="0"/>
        <v>0</v>
      </c>
      <c r="AI14" s="21">
        <f t="shared" si="1"/>
        <v>1539.9875572382316</v>
      </c>
      <c r="AJ14" s="21">
        <f t="shared" si="2"/>
        <v>19789.303731930857</v>
      </c>
      <c r="AK14" s="21">
        <f t="shared" si="3"/>
        <v>89645.955823569078</v>
      </c>
      <c r="AL14" s="21">
        <f t="shared" si="4"/>
        <v>155418.65140568253</v>
      </c>
      <c r="AM14" s="21">
        <f t="shared" si="5"/>
        <v>136393.12529527524</v>
      </c>
      <c r="AN14" s="21">
        <f t="shared" si="6"/>
        <v>75454.732521292535</v>
      </c>
      <c r="AO14" s="21">
        <f t="shared" si="7"/>
        <v>37979.323449777388</v>
      </c>
      <c r="AP14" s="21">
        <f t="shared" si="8"/>
        <v>18377.843947046407</v>
      </c>
      <c r="AQ14" s="21">
        <f t="shared" si="9"/>
        <v>8786.2972966984598</v>
      </c>
      <c r="AR14" s="21">
        <f t="shared" si="10"/>
        <v>4202.1199518343683</v>
      </c>
      <c r="AS14" s="21">
        <f t="shared" si="11"/>
        <v>4771.0330080061403</v>
      </c>
      <c r="AT14" s="21">
        <f t="shared" si="12"/>
        <v>0</v>
      </c>
      <c r="AU14" s="21">
        <f t="shared" si="13"/>
        <v>16442063.146576991</v>
      </c>
      <c r="AV14" s="21">
        <f t="shared" si="14"/>
        <v>18407937.679709319</v>
      </c>
      <c r="AW14" s="21">
        <f t="shared" si="15"/>
        <v>15218637.672404718</v>
      </c>
      <c r="AX14" s="13">
        <f t="shared" si="100"/>
        <v>0.2</v>
      </c>
      <c r="AY14" s="13">
        <f t="shared" si="124"/>
        <v>0.6</v>
      </c>
      <c r="AZ14" s="13">
        <f t="shared" si="125"/>
        <v>1.2658</v>
      </c>
      <c r="BA14" s="13">
        <f t="shared" si="126"/>
        <v>2.1563433061221908</v>
      </c>
      <c r="BB14" s="13">
        <f>BA13+F$35+E$36*CW13</f>
        <v>3.3181654489288643</v>
      </c>
      <c r="BC14" s="13">
        <f t="shared" si="128"/>
        <v>4.8237379729037579</v>
      </c>
      <c r="BD14" s="13">
        <f t="shared" si="129"/>
        <v>6.7390938821030737</v>
      </c>
      <c r="BE14" s="13">
        <f t="shared" si="130"/>
        <v>9.1414462415697582</v>
      </c>
      <c r="BF14" s="13">
        <f t="shared" si="131"/>
        <v>11.091796099570946</v>
      </c>
      <c r="BG14" s="13">
        <f t="shared" si="132"/>
        <v>13.289025757401125</v>
      </c>
      <c r="BH14" s="13">
        <f t="shared" si="133"/>
        <v>15.165316643113142</v>
      </c>
      <c r="BI14" s="13">
        <f t="shared" si="134"/>
        <v>16.867973578793499</v>
      </c>
      <c r="BJ14" s="13">
        <f t="shared" si="16"/>
        <v>4.0000000000000001E-3</v>
      </c>
      <c r="BK14" s="13">
        <f t="shared" si="17"/>
        <v>0.01</v>
      </c>
      <c r="BL14" s="13">
        <f t="shared" si="18"/>
        <v>0.02</v>
      </c>
      <c r="BM14" s="13">
        <f t="shared" si="19"/>
        <v>0.03</v>
      </c>
      <c r="BN14" s="30">
        <f t="shared" si="102"/>
        <v>4725425.551208633</v>
      </c>
      <c r="BO14" s="30">
        <f t="shared" si="103"/>
        <v>1343903.3130413047</v>
      </c>
      <c r="BP14" s="30">
        <f t="shared" si="104"/>
        <v>2713401.4840827836</v>
      </c>
      <c r="BQ14" s="30">
        <f t="shared" si="105"/>
        <v>989138.51523209782</v>
      </c>
      <c r="BR14" s="36">
        <f t="shared" si="20"/>
        <v>0.3</v>
      </c>
      <c r="BS14" s="36">
        <f t="shared" si="21"/>
        <v>0.25</v>
      </c>
      <c r="BT14" s="36">
        <f t="shared" si="22"/>
        <v>0.2</v>
      </c>
      <c r="BU14" s="36">
        <f t="shared" si="23"/>
        <v>0.2</v>
      </c>
      <c r="BV14" s="36">
        <f t="shared" si="24"/>
        <v>0.2</v>
      </c>
      <c r="BW14" s="36">
        <f t="shared" si="25"/>
        <v>0.2</v>
      </c>
      <c r="BX14" s="36">
        <f t="shared" si="26"/>
        <v>0.2</v>
      </c>
      <c r="BY14" s="36">
        <f t="shared" si="27"/>
        <v>0.2</v>
      </c>
      <c r="BZ14" s="36">
        <f t="shared" si="28"/>
        <v>0.2</v>
      </c>
      <c r="CA14" s="36">
        <f t="shared" si="29"/>
        <v>0.2</v>
      </c>
      <c r="CB14" s="36">
        <f t="shared" si="30"/>
        <v>0.2</v>
      </c>
      <c r="CC14" s="36">
        <f t="shared" si="31"/>
        <v>0.2</v>
      </c>
      <c r="CD14" s="35">
        <f t="shared" si="32"/>
        <v>0.36879421987196287</v>
      </c>
      <c r="CE14" s="35">
        <f t="shared" si="33"/>
        <v>0.36879421987196287</v>
      </c>
      <c r="CF14" s="35">
        <f t="shared" si="34"/>
        <v>0.36879421987196287</v>
      </c>
      <c r="CG14" s="35">
        <f t="shared" si="35"/>
        <v>0.36879421987196287</v>
      </c>
      <c r="CH14" s="28">
        <f t="shared" si="36"/>
        <v>0</v>
      </c>
      <c r="CI14" s="28">
        <f t="shared" si="37"/>
        <v>0</v>
      </c>
      <c r="CJ14" s="28">
        <f t="shared" si="38"/>
        <v>15669.649774893936</v>
      </c>
      <c r="CK14" s="28">
        <f t="shared" si="39"/>
        <v>23758.63273573908</v>
      </c>
      <c r="CL14" s="28">
        <f t="shared" si="40"/>
        <v>32396.982199637219</v>
      </c>
      <c r="CM14" s="28">
        <f t="shared" si="41"/>
        <v>31724.353114760263</v>
      </c>
      <c r="CN14" s="28">
        <f t="shared" si="42"/>
        <v>22713.413079885871</v>
      </c>
      <c r="CO14" s="28">
        <f t="shared" si="43"/>
        <v>15748.493488934811</v>
      </c>
      <c r="CP14" s="28">
        <f t="shared" si="44"/>
        <v>9702.2095219162529</v>
      </c>
      <c r="CQ14" s="28">
        <f t="shared" si="45"/>
        <v>5851.8254163409902</v>
      </c>
      <c r="CR14" s="28">
        <f t="shared" si="46"/>
        <v>3340.4337319964961</v>
      </c>
      <c r="CS14" s="28">
        <f t="shared" si="47"/>
        <v>4404.5709641114281</v>
      </c>
      <c r="CT14" s="44">
        <f t="shared" si="106"/>
        <v>0</v>
      </c>
      <c r="CU14" s="44">
        <f t="shared" si="107"/>
        <v>0</v>
      </c>
      <c r="CV14" s="44">
        <f t="shared" si="108"/>
        <v>3.9174460868058404E-2</v>
      </c>
      <c r="CW14" s="44">
        <f t="shared" si="109"/>
        <v>7.247801383070468E-2</v>
      </c>
      <c r="CX14" s="44">
        <f t="shared" si="110"/>
        <v>0.12052785144686053</v>
      </c>
      <c r="CY14" s="44">
        <f t="shared" si="111"/>
        <v>0.18845088253893286</v>
      </c>
      <c r="CZ14" s="44">
        <f t="shared" si="112"/>
        <v>0.28197689039425944</v>
      </c>
      <c r="DA14" s="44">
        <f t="shared" si="113"/>
        <v>0.40822152680837215</v>
      </c>
      <c r="DB14" s="44">
        <f t="shared" si="114"/>
        <v>0.52506775883284029</v>
      </c>
      <c r="DC14" s="44">
        <f t="shared" si="115"/>
        <v>0.66401918158224105</v>
      </c>
      <c r="DD14" s="44">
        <f t="shared" si="116"/>
        <v>0.79494011838912004</v>
      </c>
      <c r="DE14" s="44">
        <f t="shared" si="117"/>
        <v>0.92319020990218215</v>
      </c>
      <c r="DF14" s="21">
        <f t="shared" si="49"/>
        <v>0</v>
      </c>
      <c r="DG14" s="21">
        <f t="shared" si="50"/>
        <v>0</v>
      </c>
      <c r="DH14" s="21">
        <f t="shared" si="51"/>
        <v>0</v>
      </c>
      <c r="DI14" s="21">
        <f t="shared" si="52"/>
        <v>0</v>
      </c>
      <c r="DJ14" s="21">
        <f t="shared" si="118"/>
        <v>57961.559421473969</v>
      </c>
      <c r="DK14" s="21">
        <f t="shared" si="53"/>
        <v>64289.049519950706</v>
      </c>
      <c r="DL14" s="21">
        <f t="shared" si="54"/>
        <v>30761.767672147376</v>
      </c>
      <c r="DM14" s="21">
        <f t="shared" si="55"/>
        <v>14732.807620543899</v>
      </c>
      <c r="DN14" s="21">
        <f t="shared" si="56"/>
        <v>7056.6357852320662</v>
      </c>
      <c r="DO14" s="21">
        <f t="shared" si="57"/>
        <v>3365.5274818873586</v>
      </c>
      <c r="DP14" s="21">
        <f t="shared" si="58"/>
        <v>1604.7628088846577</v>
      </c>
      <c r="DQ14" s="21">
        <f t="shared" si="59"/>
        <v>1822.0270765633625</v>
      </c>
      <c r="DR14" s="21">
        <f t="shared" si="60"/>
        <v>0</v>
      </c>
      <c r="DS14" s="21">
        <f t="shared" si="61"/>
        <v>5240760.0383965252</v>
      </c>
      <c r="DT14" s="21">
        <f t="shared" si="62"/>
        <v>5345827.1714850804</v>
      </c>
      <c r="DU14" s="21">
        <f t="shared" si="63"/>
        <v>4419626.369759216</v>
      </c>
      <c r="DV14" s="13">
        <f t="shared" si="64"/>
        <v>0</v>
      </c>
      <c r="DW14" s="13">
        <f t="shared" si="65"/>
        <v>0</v>
      </c>
      <c r="DX14" s="13">
        <f t="shared" si="66"/>
        <v>0</v>
      </c>
      <c r="DY14" s="13">
        <f t="shared" si="67"/>
        <v>0</v>
      </c>
      <c r="DZ14" s="13">
        <f t="shared" si="68"/>
        <v>192326.04383837222</v>
      </c>
      <c r="EA14" s="13">
        <f t="shared" si="119"/>
        <v>310113.52941127634</v>
      </c>
      <c r="EB14" s="13">
        <f t="shared" si="69"/>
        <v>207306.44032204448</v>
      </c>
      <c r="EC14" s="13">
        <f t="shared" si="70"/>
        <v>134679.16885059132</v>
      </c>
      <c r="ED14" s="13">
        <f t="shared" si="71"/>
        <v>78270.765278729785</v>
      </c>
      <c r="EE14" s="13">
        <f t="shared" si="72"/>
        <v>44724.581394042456</v>
      </c>
      <c r="EF14" s="13">
        <f t="shared" si="73"/>
        <v>24336.736133827493</v>
      </c>
      <c r="EG14" s="13">
        <f t="shared" si="74"/>
        <v>30733.90458731716</v>
      </c>
      <c r="EH14" s="13">
        <f t="shared" si="75"/>
        <v>0</v>
      </c>
      <c r="EI14" s="13">
        <f t="shared" si="76"/>
        <v>52407.600383965255</v>
      </c>
      <c r="EJ14" s="13">
        <f t="shared" si="77"/>
        <v>106916.5434297016</v>
      </c>
      <c r="EK14" s="13">
        <f t="shared" si="78"/>
        <v>132588.79109277646</v>
      </c>
      <c r="EL14" s="21">
        <f t="shared" si="120"/>
        <v>1022491.1698162012</v>
      </c>
      <c r="EM14" s="21">
        <f t="shared" si="121"/>
        <v>291912.93490644335</v>
      </c>
      <c r="EN14" s="21">
        <f t="shared" si="79"/>
        <v>15337367547.243017</v>
      </c>
      <c r="EO14" s="21">
        <f t="shared" si="80"/>
        <v>6568041035.3949757</v>
      </c>
      <c r="EP14" s="21">
        <f t="shared" si="81"/>
        <v>13084831117.379759</v>
      </c>
      <c r="EQ14" s="21">
        <f t="shared" si="82"/>
        <v>4468965090.9781475</v>
      </c>
      <c r="ER14" s="21">
        <f t="shared" si="83"/>
        <v>7549290832.0329428</v>
      </c>
      <c r="ES14" s="21">
        <f t="shared" si="84"/>
        <v>2578368561.8368564</v>
      </c>
    </row>
    <row r="15" spans="1:149" x14ac:dyDescent="0.25">
      <c r="A15" s="16" t="s">
        <v>58</v>
      </c>
      <c r="B15" s="28">
        <f>AVERAGE(BQ3:BQ102)</f>
        <v>1003092.8572031662</v>
      </c>
      <c r="I15" s="29"/>
      <c r="O15" s="3">
        <v>13</v>
      </c>
      <c r="P15" s="21">
        <f t="shared" si="122"/>
        <v>450507.28597265156</v>
      </c>
      <c r="Q15" s="21">
        <f t="shared" si="123"/>
        <v>419815.18888336571</v>
      </c>
      <c r="R15" s="13">
        <f t="shared" si="135"/>
        <v>692564.39265339426</v>
      </c>
      <c r="S15" s="13">
        <f t="shared" si="85"/>
        <v>513173.94404713874</v>
      </c>
      <c r="T15" s="13">
        <f t="shared" si="86"/>
        <v>399781.17183245154</v>
      </c>
      <c r="U15" s="13">
        <f t="shared" si="87"/>
        <v>327489.48872268148</v>
      </c>
      <c r="V15" s="13">
        <f t="shared" si="88"/>
        <v>268383.77935232839</v>
      </c>
      <c r="W15" s="13">
        <f t="shared" si="89"/>
        <v>167944.79518439021</v>
      </c>
      <c r="X15" s="13">
        <f t="shared" si="90"/>
        <v>80269.823712969548</v>
      </c>
      <c r="Y15" s="13">
        <f t="shared" si="91"/>
        <v>38408.433264771164</v>
      </c>
      <c r="Z15" s="13">
        <f t="shared" si="92"/>
        <v>18395.043624515853</v>
      </c>
      <c r="AA15" s="13">
        <f t="shared" si="93"/>
        <v>8810.7526043207345</v>
      </c>
      <c r="AB15" s="13">
        <f t="shared" si="94"/>
        <v>4202.1199518343683</v>
      </c>
      <c r="AC15" s="13">
        <f t="shared" si="95"/>
        <v>4722.2287980809742</v>
      </c>
      <c r="AD15" s="13">
        <f t="shared" si="96"/>
        <v>47594160.967614979</v>
      </c>
      <c r="AE15" s="13">
        <f t="shared" si="97"/>
        <v>32908969.650471471</v>
      </c>
      <c r="AF15" s="13">
        <f t="shared" si="98"/>
        <v>18435686.013185397</v>
      </c>
      <c r="AG15" s="13">
        <f t="shared" si="99"/>
        <v>15282483.124598553</v>
      </c>
      <c r="AH15" s="21">
        <f t="shared" si="0"/>
        <v>0</v>
      </c>
      <c r="AI15" s="21">
        <f t="shared" si="1"/>
        <v>1539.5218321414163</v>
      </c>
      <c r="AJ15" s="21">
        <f t="shared" si="2"/>
        <v>19778.647448552867</v>
      </c>
      <c r="AK15" s="21">
        <f t="shared" si="3"/>
        <v>89559.7570212133</v>
      </c>
      <c r="AL15" s="21">
        <f t="shared" si="4"/>
        <v>155182.32631393056</v>
      </c>
      <c r="AM15" s="21">
        <f t="shared" si="5"/>
        <v>136070.64089834224</v>
      </c>
      <c r="AN15" s="21">
        <f t="shared" si="6"/>
        <v>75191.701181233264</v>
      </c>
      <c r="AO15" s="21">
        <f t="shared" si="7"/>
        <v>37812.091800923401</v>
      </c>
      <c r="AP15" s="21">
        <f t="shared" si="8"/>
        <v>18295.323124867162</v>
      </c>
      <c r="AQ15" s="21">
        <f t="shared" si="9"/>
        <v>8784.3203465077731</v>
      </c>
      <c r="AR15" s="21">
        <f t="shared" si="10"/>
        <v>4202.1199518343683</v>
      </c>
      <c r="AS15" s="21">
        <f t="shared" si="11"/>
        <v>4722.2287980809742</v>
      </c>
      <c r="AT15" s="21">
        <f t="shared" si="12"/>
        <v>0</v>
      </c>
      <c r="AU15" s="21">
        <f t="shared" si="13"/>
        <v>16454484.825235736</v>
      </c>
      <c r="AV15" s="21">
        <f t="shared" si="14"/>
        <v>18435686.013185397</v>
      </c>
      <c r="AW15" s="21">
        <f t="shared" si="15"/>
        <v>15282483.124598553</v>
      </c>
      <c r="AX15" s="13">
        <f t="shared" si="100"/>
        <v>0.2</v>
      </c>
      <c r="AY15" s="13">
        <f t="shared" si="124"/>
        <v>0.6</v>
      </c>
      <c r="AZ15" s="13">
        <f t="shared" si="125"/>
        <v>1.2658</v>
      </c>
      <c r="BA15" s="13">
        <f t="shared" si="126"/>
        <v>2.156422122607641</v>
      </c>
      <c r="BB15" s="13">
        <f t="shared" si="127"/>
        <v>3.3184044548355347</v>
      </c>
      <c r="BC15" s="13">
        <f t="shared" si="128"/>
        <v>4.8242610457391066</v>
      </c>
      <c r="BD15" s="13">
        <f t="shared" si="129"/>
        <v>6.7400789053478345</v>
      </c>
      <c r="BE15" s="13">
        <f t="shared" si="130"/>
        <v>9.1431241760686621</v>
      </c>
      <c r="BF15" s="13">
        <f t="shared" si="131"/>
        <v>11.094423775952688</v>
      </c>
      <c r="BG15" s="13">
        <f t="shared" si="132"/>
        <v>13.29286981516244</v>
      </c>
      <c r="BH15" s="13">
        <f t="shared" si="133"/>
        <v>15.170432470954909</v>
      </c>
      <c r="BI15" s="13">
        <f t="shared" si="134"/>
        <v>16.873545684549335</v>
      </c>
      <c r="BJ15" s="13">
        <f t="shared" si="16"/>
        <v>4.0000000000000001E-3</v>
      </c>
      <c r="BK15" s="13">
        <f t="shared" si="17"/>
        <v>0.01</v>
      </c>
      <c r="BL15" s="13">
        <f t="shared" si="18"/>
        <v>0.02</v>
      </c>
      <c r="BM15" s="13">
        <f t="shared" si="19"/>
        <v>0.03</v>
      </c>
      <c r="BN15" s="30">
        <f t="shared" si="102"/>
        <v>4716310.630222233</v>
      </c>
      <c r="BO15" s="30">
        <f t="shared" si="103"/>
        <v>1346654.5543768392</v>
      </c>
      <c r="BP15" s="30">
        <f t="shared" si="104"/>
        <v>2706178.44633123</v>
      </c>
      <c r="BQ15" s="30">
        <f t="shared" si="105"/>
        <v>991733.06225402188</v>
      </c>
      <c r="BR15" s="36">
        <f t="shared" si="20"/>
        <v>0.3</v>
      </c>
      <c r="BS15" s="36">
        <f t="shared" si="21"/>
        <v>0.25</v>
      </c>
      <c r="BT15" s="36">
        <f t="shared" si="22"/>
        <v>0.2</v>
      </c>
      <c r="BU15" s="36">
        <f t="shared" si="23"/>
        <v>0.2</v>
      </c>
      <c r="BV15" s="36">
        <f t="shared" si="24"/>
        <v>0.2</v>
      </c>
      <c r="BW15" s="36">
        <f t="shared" si="25"/>
        <v>0.2</v>
      </c>
      <c r="BX15" s="36">
        <f t="shared" si="26"/>
        <v>0.2</v>
      </c>
      <c r="BY15" s="36">
        <f t="shared" si="27"/>
        <v>0.2</v>
      </c>
      <c r="BZ15" s="36">
        <f t="shared" si="28"/>
        <v>0.2</v>
      </c>
      <c r="CA15" s="36">
        <f t="shared" si="29"/>
        <v>0.2</v>
      </c>
      <c r="CB15" s="36">
        <f t="shared" si="30"/>
        <v>0.2</v>
      </c>
      <c r="CC15" s="36">
        <f t="shared" si="31"/>
        <v>0.2</v>
      </c>
      <c r="CD15" s="35">
        <f t="shared" si="32"/>
        <v>0.36839190412562484</v>
      </c>
      <c r="CE15" s="35">
        <f t="shared" si="33"/>
        <v>0.36839190412562484</v>
      </c>
      <c r="CF15" s="35">
        <f t="shared" si="34"/>
        <v>0.36839190412562484</v>
      </c>
      <c r="CG15" s="35">
        <f t="shared" si="35"/>
        <v>0.36839190412562484</v>
      </c>
      <c r="CH15" s="28">
        <f t="shared" si="36"/>
        <v>0</v>
      </c>
      <c r="CI15" s="28">
        <f t="shared" si="37"/>
        <v>0</v>
      </c>
      <c r="CJ15" s="28">
        <f t="shared" si="38"/>
        <v>15694.798285176907</v>
      </c>
      <c r="CK15" s="28">
        <f t="shared" si="39"/>
        <v>23786.690521346904</v>
      </c>
      <c r="CL15" s="28">
        <f t="shared" si="40"/>
        <v>32417.091925684424</v>
      </c>
      <c r="CM15" s="28">
        <f t="shared" si="41"/>
        <v>31717.218799272905</v>
      </c>
      <c r="CN15" s="28">
        <f t="shared" si="42"/>
        <v>22682.775765790971</v>
      </c>
      <c r="CO15" s="28">
        <f t="shared" si="43"/>
        <v>15712.77415093407</v>
      </c>
      <c r="CP15" s="28">
        <f t="shared" si="44"/>
        <v>9679.357874867359</v>
      </c>
      <c r="CQ15" s="28">
        <f t="shared" si="45"/>
        <v>5863.0555022876442</v>
      </c>
      <c r="CR15" s="28">
        <f t="shared" si="46"/>
        <v>3347.5974936077046</v>
      </c>
      <c r="CS15" s="28">
        <f t="shared" si="47"/>
        <v>4368.864639008968</v>
      </c>
      <c r="CT15" s="44">
        <f t="shared" si="106"/>
        <v>0</v>
      </c>
      <c r="CU15" s="44">
        <f t="shared" si="107"/>
        <v>0</v>
      </c>
      <c r="CV15" s="44">
        <f t="shared" si="108"/>
        <v>3.9258472862135199E-2</v>
      </c>
      <c r="CW15" s="44">
        <f t="shared" si="109"/>
        <v>7.2633447302760626E-2</v>
      </c>
      <c r="CX15" s="44">
        <f t="shared" si="110"/>
        <v>0.1207863306937338</v>
      </c>
      <c r="CY15" s="44">
        <f t="shared" si="111"/>
        <v>0.18885502682265257</v>
      </c>
      <c r="CZ15" s="44">
        <f t="shared" si="112"/>
        <v>0.28258160684269717</v>
      </c>
      <c r="DA15" s="44">
        <f t="shared" si="113"/>
        <v>0.40909698249384419</v>
      </c>
      <c r="DB15" s="44">
        <f t="shared" si="114"/>
        <v>0.52619379831028334</v>
      </c>
      <c r="DC15" s="44">
        <f t="shared" si="115"/>
        <v>0.66544321076640389</v>
      </c>
      <c r="DD15" s="44">
        <f t="shared" si="116"/>
        <v>0.79664491541855309</v>
      </c>
      <c r="DE15" s="44">
        <f t="shared" si="117"/>
        <v>0.92517004698806482</v>
      </c>
      <c r="DF15" s="21">
        <f t="shared" si="49"/>
        <v>0</v>
      </c>
      <c r="DG15" s="21">
        <f t="shared" si="50"/>
        <v>0</v>
      </c>
      <c r="DH15" s="21">
        <f t="shared" si="51"/>
        <v>0</v>
      </c>
      <c r="DI15" s="21">
        <f t="shared" si="52"/>
        <v>0</v>
      </c>
      <c r="DJ15" s="21">
        <f t="shared" si="118"/>
        <v>57873.424756010856</v>
      </c>
      <c r="DK15" s="21">
        <f t="shared" si="53"/>
        <v>64137.046145008215</v>
      </c>
      <c r="DL15" s="21">
        <f t="shared" si="54"/>
        <v>30654.533722691474</v>
      </c>
      <c r="DM15" s="21">
        <f t="shared" si="55"/>
        <v>14667.935698486355</v>
      </c>
      <c r="DN15" s="21">
        <f t="shared" si="56"/>
        <v>7024.9498383661148</v>
      </c>
      <c r="DO15" s="21">
        <f t="shared" si="57"/>
        <v>3364.7702254490205</v>
      </c>
      <c r="DP15" s="21">
        <f t="shared" si="58"/>
        <v>1604.7628088846577</v>
      </c>
      <c r="DQ15" s="21">
        <f t="shared" si="59"/>
        <v>1803.3890600615448</v>
      </c>
      <c r="DR15" s="21">
        <f t="shared" si="60"/>
        <v>0</v>
      </c>
      <c r="DS15" s="21">
        <f t="shared" si="61"/>
        <v>5245673.2818906205</v>
      </c>
      <c r="DT15" s="21">
        <f t="shared" si="62"/>
        <v>5354822.5185955493</v>
      </c>
      <c r="DU15" s="21">
        <f t="shared" si="63"/>
        <v>4438944.3776123961</v>
      </c>
      <c r="DV15" s="13">
        <f t="shared" si="64"/>
        <v>0</v>
      </c>
      <c r="DW15" s="13">
        <f t="shared" si="65"/>
        <v>0</v>
      </c>
      <c r="DX15" s="13">
        <f t="shared" si="66"/>
        <v>0</v>
      </c>
      <c r="DY15" s="13">
        <f t="shared" si="67"/>
        <v>0</v>
      </c>
      <c r="DZ15" s="13">
        <f t="shared" si="68"/>
        <v>192047.43052693555</v>
      </c>
      <c r="EA15" s="13">
        <f t="shared" si="119"/>
        <v>309413.8533061347</v>
      </c>
      <c r="EB15" s="13">
        <f t="shared" si="69"/>
        <v>206613.97609758662</v>
      </c>
      <c r="EC15" s="13">
        <f t="shared" si="70"/>
        <v>134110.75749785118</v>
      </c>
      <c r="ED15" s="13">
        <f t="shared" si="71"/>
        <v>77937.770511644019</v>
      </c>
      <c r="EE15" s="13">
        <f t="shared" si="72"/>
        <v>44727.4525648286</v>
      </c>
      <c r="EF15" s="13">
        <f t="shared" si="73"/>
        <v>24344.945824084618</v>
      </c>
      <c r="EG15" s="13">
        <f t="shared" si="74"/>
        <v>30429.56769196496</v>
      </c>
      <c r="EH15" s="13">
        <f t="shared" si="75"/>
        <v>0</v>
      </c>
      <c r="EI15" s="13">
        <f t="shared" si="76"/>
        <v>52456.732818906203</v>
      </c>
      <c r="EJ15" s="13">
        <f t="shared" si="77"/>
        <v>107096.45037191099</v>
      </c>
      <c r="EK15" s="13">
        <f t="shared" si="78"/>
        <v>133168.33132837189</v>
      </c>
      <c r="EL15" s="21">
        <f t="shared" si="120"/>
        <v>1019625.75402103</v>
      </c>
      <c r="EM15" s="21">
        <f t="shared" si="121"/>
        <v>292721.51451918908</v>
      </c>
      <c r="EN15" s="21">
        <f t="shared" si="79"/>
        <v>15294386310.315451</v>
      </c>
      <c r="EO15" s="21">
        <f t="shared" si="80"/>
        <v>6586234076.6817541</v>
      </c>
      <c r="EP15" s="21">
        <f t="shared" si="81"/>
        <v>13041849880.452192</v>
      </c>
      <c r="EQ15" s="21">
        <f t="shared" si="82"/>
        <v>4487158132.264925</v>
      </c>
      <c r="ER15" s="21">
        <f t="shared" si="83"/>
        <v>7157518970.5836506</v>
      </c>
      <c r="ES15" s="21">
        <f t="shared" si="84"/>
        <v>2462604595.9809294</v>
      </c>
    </row>
    <row r="16" spans="1:149" x14ac:dyDescent="0.25">
      <c r="A16" s="16" t="s">
        <v>59</v>
      </c>
      <c r="B16" s="16">
        <f>SUM($AH5:$AK5)/SUM($AT5:$AU5)</f>
        <v>7.1655701709222351E-3</v>
      </c>
      <c r="O16" s="3">
        <v>14</v>
      </c>
      <c r="P16" s="21">
        <f t="shared" si="122"/>
        <v>450507.28597265156</v>
      </c>
      <c r="Q16" s="21">
        <f t="shared" si="123"/>
        <v>419815.18888336571</v>
      </c>
      <c r="R16" s="13">
        <f t="shared" si="135"/>
        <v>692442.64324865933</v>
      </c>
      <c r="S16" s="13">
        <f t="shared" si="85"/>
        <v>513064.32107300212</v>
      </c>
      <c r="T16" s="13">
        <f t="shared" si="86"/>
        <v>399660.26947575295</v>
      </c>
      <c r="U16" s="13">
        <f t="shared" si="87"/>
        <v>327313.13988078112</v>
      </c>
      <c r="V16" s="13">
        <f t="shared" si="88"/>
        <v>268125.71572704421</v>
      </c>
      <c r="W16" s="13">
        <f t="shared" si="89"/>
        <v>167689.42320186272</v>
      </c>
      <c r="X16" s="13">
        <f t="shared" si="90"/>
        <v>80080.035806607295</v>
      </c>
      <c r="Y16" s="13">
        <f t="shared" si="91"/>
        <v>38274.543429983678</v>
      </c>
      <c r="Z16" s="13">
        <f t="shared" si="92"/>
        <v>18314.046039602661</v>
      </c>
      <c r="AA16" s="13">
        <f t="shared" si="93"/>
        <v>8771.1902622407033</v>
      </c>
      <c r="AB16" s="13">
        <f t="shared" si="94"/>
        <v>4201.1744589197151</v>
      </c>
      <c r="AC16" s="13">
        <f t="shared" si="95"/>
        <v>4698.9578007629007</v>
      </c>
      <c r="AD16" s="13">
        <f t="shared" si="96"/>
        <v>47600152.965683267</v>
      </c>
      <c r="AE16" s="13">
        <f t="shared" si="97"/>
        <v>32927829.472523313</v>
      </c>
      <c r="AF16" s="13">
        <f t="shared" si="98"/>
        <v>18457037.90100795</v>
      </c>
      <c r="AG16" s="13">
        <f t="shared" si="99"/>
        <v>15330276.704924863</v>
      </c>
      <c r="AH16" s="21">
        <f t="shared" si="0"/>
        <v>0</v>
      </c>
      <c r="AI16" s="21">
        <f t="shared" si="1"/>
        <v>1539.1929632190065</v>
      </c>
      <c r="AJ16" s="21">
        <f t="shared" si="2"/>
        <v>19772.665963537253</v>
      </c>
      <c r="AK16" s="21">
        <f t="shared" si="3"/>
        <v>89511.530253712539</v>
      </c>
      <c r="AL16" s="21">
        <f t="shared" si="4"/>
        <v>155033.11120933201</v>
      </c>
      <c r="AM16" s="21">
        <f t="shared" si="5"/>
        <v>135863.73582997234</v>
      </c>
      <c r="AN16" s="21">
        <f t="shared" si="6"/>
        <v>75013.919857157714</v>
      </c>
      <c r="AO16" s="21">
        <f t="shared" si="7"/>
        <v>37680.280781991823</v>
      </c>
      <c r="AP16" s="21">
        <f t="shared" si="8"/>
        <v>18214.764632124814</v>
      </c>
      <c r="AQ16" s="21">
        <f t="shared" si="9"/>
        <v>8744.8766914539829</v>
      </c>
      <c r="AR16" s="21">
        <f t="shared" si="10"/>
        <v>4201.1744589197151</v>
      </c>
      <c r="AS16" s="21">
        <f t="shared" si="11"/>
        <v>4698.9578007629007</v>
      </c>
      <c r="AT16" s="21">
        <f t="shared" si="12"/>
        <v>0</v>
      </c>
      <c r="AU16" s="21">
        <f t="shared" si="13"/>
        <v>16463914.736261657</v>
      </c>
      <c r="AV16" s="21">
        <f t="shared" si="14"/>
        <v>18457037.90100795</v>
      </c>
      <c r="AW16" s="21">
        <f t="shared" si="15"/>
        <v>15330276.704924863</v>
      </c>
      <c r="AX16" s="13">
        <f t="shared" si="100"/>
        <v>0.2</v>
      </c>
      <c r="AY16" s="13">
        <f t="shared" si="124"/>
        <v>0.6</v>
      </c>
      <c r="AZ16" s="13">
        <f t="shared" si="125"/>
        <v>1.2658</v>
      </c>
      <c r="BA16" s="13">
        <f t="shared" si="126"/>
        <v>2.1564809310034945</v>
      </c>
      <c r="BB16" s="13">
        <f t="shared" si="127"/>
        <v>3.3185811944083801</v>
      </c>
      <c r="BC16" s="13">
        <f t="shared" si="128"/>
        <v>4.8246448000240258</v>
      </c>
      <c r="BD16" s="13">
        <f t="shared" si="129"/>
        <v>6.7408000088822062</v>
      </c>
      <c r="BE16" s="13">
        <f t="shared" si="130"/>
        <v>9.1443631802217684</v>
      </c>
      <c r="BF16" s="13">
        <f t="shared" si="131"/>
        <v>11.096408119941508</v>
      </c>
      <c r="BG16" s="13">
        <f t="shared" si="132"/>
        <v>13.295891605361287</v>
      </c>
      <c r="BH16" s="13">
        <f t="shared" si="133"/>
        <v>15.17477493893068</v>
      </c>
      <c r="BI16" s="13">
        <f t="shared" si="134"/>
        <v>16.879258191351401</v>
      </c>
      <c r="BJ16" s="13">
        <f t="shared" si="16"/>
        <v>4.0000000000000001E-3</v>
      </c>
      <c r="BK16" s="13">
        <f t="shared" si="17"/>
        <v>0.01</v>
      </c>
      <c r="BL16" s="13">
        <f t="shared" si="18"/>
        <v>0.02</v>
      </c>
      <c r="BM16" s="13">
        <f t="shared" si="19"/>
        <v>0.03</v>
      </c>
      <c r="BN16" s="30">
        <f t="shared" si="102"/>
        <v>4709608.0513942987</v>
      </c>
      <c r="BO16" s="30">
        <f t="shared" si="103"/>
        <v>1348727.9657558713</v>
      </c>
      <c r="BP16" s="30">
        <f t="shared" si="104"/>
        <v>2700638.0958493464</v>
      </c>
      <c r="BQ16" s="30">
        <f t="shared" si="105"/>
        <v>993688.20653052139</v>
      </c>
      <c r="BR16" s="36">
        <f t="shared" si="20"/>
        <v>0.3</v>
      </c>
      <c r="BS16" s="36">
        <f t="shared" si="21"/>
        <v>0.25</v>
      </c>
      <c r="BT16" s="36">
        <f t="shared" si="22"/>
        <v>0.2</v>
      </c>
      <c r="BU16" s="36">
        <f t="shared" si="23"/>
        <v>0.2</v>
      </c>
      <c r="BV16" s="36">
        <f t="shared" si="24"/>
        <v>0.2</v>
      </c>
      <c r="BW16" s="36">
        <f t="shared" si="25"/>
        <v>0.2</v>
      </c>
      <c r="BX16" s="36">
        <f t="shared" si="26"/>
        <v>0.2</v>
      </c>
      <c r="BY16" s="36">
        <f t="shared" si="27"/>
        <v>0.2</v>
      </c>
      <c r="BZ16" s="36">
        <f t="shared" si="28"/>
        <v>0.2</v>
      </c>
      <c r="CA16" s="36">
        <f t="shared" si="29"/>
        <v>0.2</v>
      </c>
      <c r="CB16" s="36">
        <f t="shared" si="30"/>
        <v>0.2</v>
      </c>
      <c r="CC16" s="36">
        <f t="shared" si="31"/>
        <v>0.2</v>
      </c>
      <c r="CD16" s="35">
        <f t="shared" si="32"/>
        <v>0.36808971368863996</v>
      </c>
      <c r="CE16" s="35">
        <f t="shared" si="33"/>
        <v>0.36808971368863996</v>
      </c>
      <c r="CF16" s="35">
        <f t="shared" si="34"/>
        <v>0.36808971368863996</v>
      </c>
      <c r="CG16" s="35">
        <f t="shared" si="35"/>
        <v>0.36808971368863996</v>
      </c>
      <c r="CH16" s="28">
        <f t="shared" si="36"/>
        <v>0</v>
      </c>
      <c r="CI16" s="28">
        <f t="shared" si="37"/>
        <v>0</v>
      </c>
      <c r="CJ16" s="28">
        <f t="shared" si="38"/>
        <v>15715.356731139307</v>
      </c>
      <c r="CK16" s="28">
        <f t="shared" si="39"/>
        <v>23812.22417136874</v>
      </c>
      <c r="CL16" s="28">
        <f t="shared" si="40"/>
        <v>32438.153323980314</v>
      </c>
      <c r="CM16" s="28">
        <f t="shared" si="41"/>
        <v>31720.066208534998</v>
      </c>
      <c r="CN16" s="28">
        <f t="shared" si="42"/>
        <v>22665.641439582461</v>
      </c>
      <c r="CO16" s="28">
        <f t="shared" si="43"/>
        <v>15683.25341859211</v>
      </c>
      <c r="CP16" s="28">
        <f t="shared" si="44"/>
        <v>9652.2795611134134</v>
      </c>
      <c r="CQ16" s="28">
        <f t="shared" si="45"/>
        <v>5846.1424765692045</v>
      </c>
      <c r="CR16" s="28">
        <f t="shared" si="46"/>
        <v>3352.2420560040273</v>
      </c>
      <c r="CS16" s="28">
        <f t="shared" si="47"/>
        <v>4354.346383537878</v>
      </c>
      <c r="CT16" s="44">
        <f t="shared" si="106"/>
        <v>0</v>
      </c>
      <c r="CU16" s="44">
        <f t="shared" si="107"/>
        <v>0</v>
      </c>
      <c r="CV16" s="44">
        <f t="shared" si="108"/>
        <v>3.9321788857705667E-2</v>
      </c>
      <c r="CW16" s="44">
        <f t="shared" si="109"/>
        <v>7.2750590398057299E-2</v>
      </c>
      <c r="CX16" s="44">
        <f t="shared" si="110"/>
        <v>0.12098113467416462</v>
      </c>
      <c r="CY16" s="44">
        <f t="shared" si="111"/>
        <v>0.18915961187576347</v>
      </c>
      <c r="CZ16" s="44">
        <f t="shared" si="112"/>
        <v>0.28303735395823026</v>
      </c>
      <c r="DA16" s="44">
        <f t="shared" si="113"/>
        <v>0.40975677338337874</v>
      </c>
      <c r="DB16" s="44">
        <f t="shared" si="114"/>
        <v>0.5270424427371827</v>
      </c>
      <c r="DC16" s="44">
        <f t="shared" si="115"/>
        <v>0.666516436399333</v>
      </c>
      <c r="DD16" s="44">
        <f t="shared" si="116"/>
        <v>0.79792974292860452</v>
      </c>
      <c r="DE16" s="44">
        <f t="shared" si="117"/>
        <v>0.92666215960290743</v>
      </c>
      <c r="DF16" s="21">
        <f t="shared" si="49"/>
        <v>0</v>
      </c>
      <c r="DG16" s="21">
        <f t="shared" si="50"/>
        <v>0</v>
      </c>
      <c r="DH16" s="21">
        <f t="shared" si="51"/>
        <v>0</v>
      </c>
      <c r="DI16" s="21">
        <f t="shared" si="52"/>
        <v>0</v>
      </c>
      <c r="DJ16" s="21">
        <f t="shared" si="118"/>
        <v>57817.776736461434</v>
      </c>
      <c r="DK16" s="21">
        <f t="shared" si="53"/>
        <v>64039.521213619148</v>
      </c>
      <c r="DL16" s="21">
        <f t="shared" si="54"/>
        <v>30582.054931700921</v>
      </c>
      <c r="DM16" s="21">
        <f t="shared" si="55"/>
        <v>14616.804024517631</v>
      </c>
      <c r="DN16" s="21">
        <f t="shared" si="56"/>
        <v>6994.0173772826511</v>
      </c>
      <c r="DO16" s="21">
        <f t="shared" si="57"/>
        <v>3349.6616193335071</v>
      </c>
      <c r="DP16" s="21">
        <f t="shared" si="58"/>
        <v>1604.4017311708153</v>
      </c>
      <c r="DQ16" s="21">
        <f t="shared" si="59"/>
        <v>1794.5020146059771</v>
      </c>
      <c r="DR16" s="21">
        <f t="shared" si="60"/>
        <v>0</v>
      </c>
      <c r="DS16" s="21">
        <f t="shared" si="61"/>
        <v>5249396.6329946788</v>
      </c>
      <c r="DT16" s="21">
        <f t="shared" si="62"/>
        <v>5361729.1457858775</v>
      </c>
      <c r="DU16" s="21">
        <f t="shared" si="63"/>
        <v>4453411.8563666763</v>
      </c>
      <c r="DV16" s="13">
        <f t="shared" si="64"/>
        <v>0</v>
      </c>
      <c r="DW16" s="13">
        <f t="shared" si="65"/>
        <v>0</v>
      </c>
      <c r="DX16" s="13">
        <f t="shared" si="66"/>
        <v>0</v>
      </c>
      <c r="DY16" s="13">
        <f t="shared" si="67"/>
        <v>0</v>
      </c>
      <c r="DZ16" s="13">
        <f t="shared" si="68"/>
        <v>191872.98658012322</v>
      </c>
      <c r="EA16" s="13">
        <f t="shared" si="119"/>
        <v>308967.94301931589</v>
      </c>
      <c r="EB16" s="13">
        <f t="shared" si="69"/>
        <v>206147.51615524568</v>
      </c>
      <c r="EC16" s="13">
        <f t="shared" si="70"/>
        <v>133661.36453431638</v>
      </c>
      <c r="ED16" s="13">
        <f t="shared" si="71"/>
        <v>77608.471216291218</v>
      </c>
      <c r="EE16" s="13">
        <f t="shared" si="72"/>
        <v>44536.737805297271</v>
      </c>
      <c r="EF16" s="13">
        <f t="shared" si="73"/>
        <v>24346.435182147885</v>
      </c>
      <c r="EG16" s="13">
        <f t="shared" si="74"/>
        <v>30289.862829434529</v>
      </c>
      <c r="EH16" s="13">
        <f t="shared" si="75"/>
        <v>0</v>
      </c>
      <c r="EI16" s="13">
        <f t="shared" si="76"/>
        <v>52493.966329946787</v>
      </c>
      <c r="EJ16" s="13">
        <f t="shared" si="77"/>
        <v>107234.58291571755</v>
      </c>
      <c r="EK16" s="13">
        <f t="shared" si="78"/>
        <v>133602.3556910003</v>
      </c>
      <c r="EL16" s="21">
        <f t="shared" si="120"/>
        <v>1017431.3173221721</v>
      </c>
      <c r="EM16" s="21">
        <f t="shared" si="121"/>
        <v>293330.90493666462</v>
      </c>
      <c r="EN16" s="21">
        <f t="shared" si="79"/>
        <v>15261469759.832582</v>
      </c>
      <c r="EO16" s="21">
        <f t="shared" si="80"/>
        <v>6599945361.074954</v>
      </c>
      <c r="EP16" s="21">
        <f t="shared" si="81"/>
        <v>13008933329.969324</v>
      </c>
      <c r="EQ16" s="21">
        <f t="shared" si="82"/>
        <v>4500869416.6581249</v>
      </c>
      <c r="ER16" s="21">
        <f t="shared" si="83"/>
        <v>6791258705.076107</v>
      </c>
      <c r="ES16" s="21">
        <f t="shared" si="84"/>
        <v>2349659870.719192</v>
      </c>
    </row>
    <row r="17" spans="1:149" x14ac:dyDescent="0.25">
      <c r="A17" s="16" t="s">
        <v>87</v>
      </c>
      <c r="B17" s="16">
        <f>B5/P3</f>
        <v>2.2924726289482762</v>
      </c>
      <c r="H17" s="33"/>
      <c r="O17" s="3">
        <v>15</v>
      </c>
      <c r="P17" s="21">
        <f t="shared" si="122"/>
        <v>450507.28597265156</v>
      </c>
      <c r="Q17" s="21">
        <f t="shared" si="123"/>
        <v>419815.18888336571</v>
      </c>
      <c r="R17" s="13">
        <f t="shared" si="135"/>
        <v>692340.0606989701</v>
      </c>
      <c r="S17" s="13">
        <f t="shared" si="85"/>
        <v>512974.12689561734</v>
      </c>
      <c r="T17" s="13">
        <f t="shared" si="86"/>
        <v>399574.89501765277</v>
      </c>
      <c r="U17" s="13">
        <f t="shared" si="87"/>
        <v>327214.15340323234</v>
      </c>
      <c r="V17" s="13">
        <f t="shared" si="88"/>
        <v>267981.33350691071</v>
      </c>
      <c r="W17" s="13">
        <f t="shared" si="89"/>
        <v>167528.18193542806</v>
      </c>
      <c r="X17" s="13">
        <f t="shared" si="90"/>
        <v>79958.268427735253</v>
      </c>
      <c r="Y17" s="13">
        <f t="shared" si="91"/>
        <v>38184.048084054892</v>
      </c>
      <c r="Z17" s="13">
        <f t="shared" si="92"/>
        <v>18250.204211386725</v>
      </c>
      <c r="AA17" s="13">
        <f t="shared" si="93"/>
        <v>8732.5687051214391</v>
      </c>
      <c r="AB17" s="13">
        <f t="shared" si="94"/>
        <v>4182.3102019662101</v>
      </c>
      <c r="AC17" s="13">
        <f t="shared" si="95"/>
        <v>4687.3109918445043</v>
      </c>
      <c r="AD17" s="13">
        <f t="shared" si="96"/>
        <v>47604648.606396906</v>
      </c>
      <c r="AE17" s="13">
        <f t="shared" si="97"/>
        <v>32941928.244096197</v>
      </c>
      <c r="AF17" s="13">
        <f t="shared" si="98"/>
        <v>18473197.036524162</v>
      </c>
      <c r="AG17" s="13">
        <f t="shared" si="99"/>
        <v>15366357.19464672</v>
      </c>
      <c r="AH17" s="21">
        <f t="shared" si="0"/>
        <v>0</v>
      </c>
      <c r="AI17" s="21">
        <f t="shared" si="1"/>
        <v>1538.922380686852</v>
      </c>
      <c r="AJ17" s="21">
        <f t="shared" si="2"/>
        <v>19768.44217455756</v>
      </c>
      <c r="AK17" s="21">
        <f t="shared" si="3"/>
        <v>89484.460057010263</v>
      </c>
      <c r="AL17" s="21">
        <f t="shared" si="4"/>
        <v>154949.62788983798</v>
      </c>
      <c r="AM17" s="21">
        <f t="shared" si="5"/>
        <v>135733.09645863049</v>
      </c>
      <c r="AN17" s="21">
        <f t="shared" si="6"/>
        <v>74899.855867201695</v>
      </c>
      <c r="AO17" s="21">
        <f t="shared" si="7"/>
        <v>37591.190495381408</v>
      </c>
      <c r="AP17" s="21">
        <f t="shared" si="8"/>
        <v>18151.268893819732</v>
      </c>
      <c r="AQ17" s="21">
        <f t="shared" si="9"/>
        <v>8706.3709990060761</v>
      </c>
      <c r="AR17" s="21">
        <f t="shared" si="10"/>
        <v>4182.3102019662101</v>
      </c>
      <c r="AS17" s="21">
        <f t="shared" si="11"/>
        <v>4687.3109918445043</v>
      </c>
      <c r="AT17" s="21">
        <f t="shared" si="12"/>
        <v>0</v>
      </c>
      <c r="AU17" s="21">
        <f t="shared" si="13"/>
        <v>16470964.122048099</v>
      </c>
      <c r="AV17" s="21">
        <f t="shared" si="14"/>
        <v>18473197.036524162</v>
      </c>
      <c r="AW17" s="21">
        <f t="shared" si="15"/>
        <v>15366357.19464672</v>
      </c>
      <c r="AX17" s="13">
        <f t="shared" si="100"/>
        <v>0.2</v>
      </c>
      <c r="AY17" s="13">
        <f t="shared" si="124"/>
        <v>0.6</v>
      </c>
      <c r="AZ17" s="13">
        <f t="shared" si="125"/>
        <v>1.2658</v>
      </c>
      <c r="BA17" s="13">
        <f t="shared" si="126"/>
        <v>2.1565252522003941</v>
      </c>
      <c r="BB17" s="13">
        <f t="shared" si="127"/>
        <v>3.3187138029542704</v>
      </c>
      <c r="BC17" s="13">
        <f t="shared" si="128"/>
        <v>4.8249306298259125</v>
      </c>
      <c r="BD17" s="13">
        <f t="shared" si="129"/>
        <v>6.7413330098431494</v>
      </c>
      <c r="BE17" s="13">
        <f t="shared" si="130"/>
        <v>9.1452756975446619</v>
      </c>
      <c r="BF17" s="13">
        <f t="shared" si="131"/>
        <v>11.097878050905951</v>
      </c>
      <c r="BG17" s="13">
        <f t="shared" si="132"/>
        <v>13.298172974899522</v>
      </c>
      <c r="BH17" s="13">
        <f t="shared" si="133"/>
        <v>15.178172358101053</v>
      </c>
      <c r="BI17" s="13">
        <f t="shared" si="134"/>
        <v>16.884050348955693</v>
      </c>
      <c r="BJ17" s="13">
        <f t="shared" si="16"/>
        <v>4.0000000000000001E-3</v>
      </c>
      <c r="BK17" s="13">
        <f t="shared" si="17"/>
        <v>0.01</v>
      </c>
      <c r="BL17" s="13">
        <f t="shared" si="18"/>
        <v>0.02</v>
      </c>
      <c r="BM17" s="13">
        <f t="shared" si="19"/>
        <v>0.03</v>
      </c>
      <c r="BN17" s="30">
        <f t="shared" si="102"/>
        <v>4704860.5130295036</v>
      </c>
      <c r="BO17" s="30">
        <f t="shared" si="103"/>
        <v>1350292.5334364343</v>
      </c>
      <c r="BP17" s="30">
        <f t="shared" si="104"/>
        <v>2696604.676488915</v>
      </c>
      <c r="BQ17" s="30">
        <f t="shared" si="105"/>
        <v>995164.29779036576</v>
      </c>
      <c r="BR17" s="36">
        <f t="shared" si="20"/>
        <v>0.3</v>
      </c>
      <c r="BS17" s="36">
        <f t="shared" si="21"/>
        <v>0.25</v>
      </c>
      <c r="BT17" s="36">
        <f t="shared" si="22"/>
        <v>0.2</v>
      </c>
      <c r="BU17" s="36">
        <f t="shared" si="23"/>
        <v>0.2</v>
      </c>
      <c r="BV17" s="36">
        <f t="shared" si="24"/>
        <v>0.2</v>
      </c>
      <c r="BW17" s="36">
        <f t="shared" si="25"/>
        <v>0.2</v>
      </c>
      <c r="BX17" s="36">
        <f t="shared" si="26"/>
        <v>0.2</v>
      </c>
      <c r="BY17" s="36">
        <f t="shared" si="27"/>
        <v>0.2</v>
      </c>
      <c r="BZ17" s="36">
        <f t="shared" si="28"/>
        <v>0.2</v>
      </c>
      <c r="CA17" s="36">
        <f t="shared" si="29"/>
        <v>0.2</v>
      </c>
      <c r="CB17" s="36">
        <f t="shared" si="30"/>
        <v>0.2</v>
      </c>
      <c r="CC17" s="36">
        <f t="shared" si="31"/>
        <v>0.2</v>
      </c>
      <c r="CD17" s="35">
        <f t="shared" si="32"/>
        <v>0.36787069382231719</v>
      </c>
      <c r="CE17" s="35">
        <f t="shared" si="33"/>
        <v>0.36787069382231719</v>
      </c>
      <c r="CF17" s="35">
        <f t="shared" si="34"/>
        <v>0.36787069382231719</v>
      </c>
      <c r="CG17" s="35">
        <f t="shared" si="35"/>
        <v>0.36787069382231719</v>
      </c>
      <c r="CH17" s="28">
        <f t="shared" si="36"/>
        <v>0</v>
      </c>
      <c r="CI17" s="28">
        <f t="shared" si="37"/>
        <v>0</v>
      </c>
      <c r="CJ17" s="28">
        <f t="shared" si="38"/>
        <v>15731.029890989903</v>
      </c>
      <c r="CK17" s="28">
        <f t="shared" si="39"/>
        <v>23833.855281706103</v>
      </c>
      <c r="CL17" s="28">
        <f t="shared" si="40"/>
        <v>32459.953449633849</v>
      </c>
      <c r="CM17" s="28">
        <f t="shared" si="41"/>
        <v>31727.947997583826</v>
      </c>
      <c r="CN17" s="28">
        <f t="shared" si="42"/>
        <v>22658.587405752161</v>
      </c>
      <c r="CO17" s="28">
        <f t="shared" si="43"/>
        <v>15665.122844434489</v>
      </c>
      <c r="CP17" s="28">
        <f t="shared" si="44"/>
        <v>9630.2822110445522</v>
      </c>
      <c r="CQ17" s="28">
        <f t="shared" si="45"/>
        <v>5827.4501921091342</v>
      </c>
      <c r="CR17" s="28">
        <f t="shared" si="46"/>
        <v>3341.2316792219035</v>
      </c>
      <c r="CS17" s="28">
        <f t="shared" si="47"/>
        <v>4348.8146006352054</v>
      </c>
      <c r="CT17" s="44">
        <f t="shared" si="106"/>
        <v>0</v>
      </c>
      <c r="CU17" s="44">
        <f t="shared" si="107"/>
        <v>0</v>
      </c>
      <c r="CV17" s="44">
        <f t="shared" si="108"/>
        <v>3.9369415063713963E-2</v>
      </c>
      <c r="CW17" s="44">
        <f t="shared" si="109"/>
        <v>7.283870527548722E-2</v>
      </c>
      <c r="CX17" s="44">
        <f t="shared" si="110"/>
        <v>0.12112766596408019</v>
      </c>
      <c r="CY17" s="44">
        <f t="shared" si="111"/>
        <v>0.18938872033968007</v>
      </c>
      <c r="CZ17" s="44">
        <f t="shared" si="112"/>
        <v>0.28338016632051705</v>
      </c>
      <c r="DA17" s="44">
        <f t="shared" si="113"/>
        <v>0.41025306719577537</v>
      </c>
      <c r="DB17" s="44">
        <f t="shared" si="114"/>
        <v>0.52768079192428963</v>
      </c>
      <c r="DC17" s="44">
        <f t="shared" si="115"/>
        <v>0.66732371526507162</v>
      </c>
      <c r="DD17" s="44">
        <f t="shared" si="116"/>
        <v>0.7988961884393716</v>
      </c>
      <c r="DE17" s="44">
        <f t="shared" si="117"/>
        <v>0.92778452468840833</v>
      </c>
      <c r="DF17" s="21">
        <f t="shared" si="49"/>
        <v>0</v>
      </c>
      <c r="DG17" s="21">
        <f t="shared" si="50"/>
        <v>0</v>
      </c>
      <c r="DH17" s="21">
        <f t="shared" si="51"/>
        <v>0</v>
      </c>
      <c r="DI17" s="21">
        <f t="shared" si="52"/>
        <v>0</v>
      </c>
      <c r="DJ17" s="21">
        <f t="shared" si="118"/>
        <v>57786.642613627453</v>
      </c>
      <c r="DK17" s="21">
        <f t="shared" si="53"/>
        <v>63977.944202349194</v>
      </c>
      <c r="DL17" s="21">
        <f t="shared" si="54"/>
        <v>30535.552746330435</v>
      </c>
      <c r="DM17" s="21">
        <f t="shared" si="55"/>
        <v>14582.244429078126</v>
      </c>
      <c r="DN17" s="21">
        <f t="shared" si="56"/>
        <v>6969.6365902640846</v>
      </c>
      <c r="DO17" s="21">
        <f t="shared" si="57"/>
        <v>3334.9122929942737</v>
      </c>
      <c r="DP17" s="21">
        <f t="shared" si="58"/>
        <v>1597.1975917547063</v>
      </c>
      <c r="DQ17" s="21">
        <f t="shared" si="59"/>
        <v>1790.05417256228</v>
      </c>
      <c r="DR17" s="21">
        <f t="shared" si="60"/>
        <v>0</v>
      </c>
      <c r="DS17" s="21">
        <f t="shared" si="61"/>
        <v>5252164.3247592421</v>
      </c>
      <c r="DT17" s="21">
        <f t="shared" si="62"/>
        <v>5366934.6653609602</v>
      </c>
      <c r="DU17" s="21">
        <f t="shared" si="63"/>
        <v>4464318.4904709654</v>
      </c>
      <c r="DV17" s="13">
        <f t="shared" si="64"/>
        <v>0</v>
      </c>
      <c r="DW17" s="13">
        <f t="shared" si="65"/>
        <v>0</v>
      </c>
      <c r="DX17" s="13">
        <f t="shared" si="66"/>
        <v>0</v>
      </c>
      <c r="DY17" s="13">
        <f t="shared" si="67"/>
        <v>0</v>
      </c>
      <c r="DZ17" s="13">
        <f t="shared" si="68"/>
        <v>191777.32846823087</v>
      </c>
      <c r="EA17" s="13">
        <f t="shared" si="119"/>
        <v>308689.14261520776</v>
      </c>
      <c r="EB17" s="13">
        <f t="shared" si="69"/>
        <v>205850.329702644</v>
      </c>
      <c r="EC17" s="13">
        <f t="shared" si="70"/>
        <v>133358.64559290421</v>
      </c>
      <c r="ED17" s="13">
        <f t="shared" si="71"/>
        <v>77348.176937882774</v>
      </c>
      <c r="EE17" s="13">
        <f t="shared" si="72"/>
        <v>44348.240528356648</v>
      </c>
      <c r="EF17" s="13">
        <f t="shared" si="73"/>
        <v>24242.540337596853</v>
      </c>
      <c r="EG17" s="13">
        <f t="shared" si="74"/>
        <v>30223.364776899758</v>
      </c>
      <c r="EH17" s="13">
        <f t="shared" si="75"/>
        <v>0</v>
      </c>
      <c r="EI17" s="13">
        <f t="shared" si="76"/>
        <v>52521.643247592423</v>
      </c>
      <c r="EJ17" s="13">
        <f t="shared" si="77"/>
        <v>107338.6933072192</v>
      </c>
      <c r="EK17" s="13">
        <f t="shared" si="78"/>
        <v>133929.55471412896</v>
      </c>
      <c r="EL17" s="21">
        <f t="shared" si="120"/>
        <v>1015837.7689597229</v>
      </c>
      <c r="EM17" s="21">
        <f t="shared" si="121"/>
        <v>293789.89126894058</v>
      </c>
      <c r="EN17" s="21">
        <f t="shared" si="79"/>
        <v>15237566534.395844</v>
      </c>
      <c r="EO17" s="21">
        <f t="shared" si="80"/>
        <v>6610272553.5511627</v>
      </c>
      <c r="EP17" s="21">
        <f t="shared" si="81"/>
        <v>12985030104.532585</v>
      </c>
      <c r="EQ17" s="21">
        <f t="shared" si="82"/>
        <v>4511196609.1343346</v>
      </c>
      <c r="ER17" s="21">
        <f t="shared" si="83"/>
        <v>6448175119.1999111</v>
      </c>
      <c r="ES17" s="21">
        <f t="shared" si="84"/>
        <v>2240193938.6097498</v>
      </c>
    </row>
    <row r="18" spans="1:149" x14ac:dyDescent="0.25">
      <c r="A18" s="16" t="s">
        <v>88</v>
      </c>
      <c r="B18" s="16">
        <f>B6/Q3</f>
        <v>0.7044424922327297</v>
      </c>
      <c r="H18" s="33"/>
      <c r="O18" s="3">
        <v>16</v>
      </c>
      <c r="P18" s="21">
        <f t="shared" si="122"/>
        <v>450507.28597265156</v>
      </c>
      <c r="Q18" s="21">
        <f t="shared" si="123"/>
        <v>419815.18888336571</v>
      </c>
      <c r="R18" s="13">
        <f t="shared" si="135"/>
        <v>692256.82529971702</v>
      </c>
      <c r="S18" s="13">
        <f t="shared" si="85"/>
        <v>512898.1318736836</v>
      </c>
      <c r="T18" s="13">
        <f t="shared" si="86"/>
        <v>399504.65172167699</v>
      </c>
      <c r="U18" s="13">
        <f t="shared" si="87"/>
        <v>327144.25470885838</v>
      </c>
      <c r="V18" s="13">
        <f t="shared" si="88"/>
        <v>267900.29023360269</v>
      </c>
      <c r="W18" s="13">
        <f t="shared" si="89"/>
        <v>167437.97018241818</v>
      </c>
      <c r="X18" s="13">
        <f t="shared" si="90"/>
        <v>79881.384792398923</v>
      </c>
      <c r="Y18" s="13">
        <f t="shared" si="91"/>
        <v>38125.986528473826</v>
      </c>
      <c r="Z18" s="13">
        <f t="shared" si="92"/>
        <v>18207.05389800933</v>
      </c>
      <c r="AA18" s="13">
        <f t="shared" si="93"/>
        <v>8702.127417054855</v>
      </c>
      <c r="AB18" s="13">
        <f t="shared" si="94"/>
        <v>4163.8945334507198</v>
      </c>
      <c r="AC18" s="13">
        <f t="shared" si="95"/>
        <v>4670.7710960798686</v>
      </c>
      <c r="AD18" s="13">
        <f t="shared" si="96"/>
        <v>47608031.574284181</v>
      </c>
      <c r="AE18" s="13">
        <f t="shared" si="97"/>
        <v>32952255.883525673</v>
      </c>
      <c r="AF18" s="13">
        <f t="shared" si="98"/>
        <v>18485154.91337366</v>
      </c>
      <c r="AG18" s="13">
        <f t="shared" si="99"/>
        <v>15393486.710955584</v>
      </c>
      <c r="AH18" s="21">
        <f t="shared" si="0"/>
        <v>0</v>
      </c>
      <c r="AI18" s="21">
        <f t="shared" si="1"/>
        <v>1538.6943956210507</v>
      </c>
      <c r="AJ18" s="21">
        <f t="shared" si="2"/>
        <v>19764.966979914549</v>
      </c>
      <c r="AK18" s="21">
        <f t="shared" si="3"/>
        <v>89465.344603538309</v>
      </c>
      <c r="AL18" s="21">
        <f t="shared" si="4"/>
        <v>154902.76781612419</v>
      </c>
      <c r="AM18" s="21">
        <f t="shared" si="5"/>
        <v>135660.0059467445</v>
      </c>
      <c r="AN18" s="21">
        <f t="shared" si="6"/>
        <v>74827.836133427161</v>
      </c>
      <c r="AO18" s="21">
        <f t="shared" si="7"/>
        <v>37534.030421847521</v>
      </c>
      <c r="AP18" s="21">
        <f t="shared" si="8"/>
        <v>18108.352500562225</v>
      </c>
      <c r="AQ18" s="21">
        <f t="shared" si="9"/>
        <v>8676.0210348036908</v>
      </c>
      <c r="AR18" s="21">
        <f t="shared" si="10"/>
        <v>4163.8945334507198</v>
      </c>
      <c r="AS18" s="21">
        <f t="shared" si="11"/>
        <v>4670.7710960798686</v>
      </c>
      <c r="AT18" s="21">
        <f t="shared" si="12"/>
        <v>0</v>
      </c>
      <c r="AU18" s="21">
        <f t="shared" si="13"/>
        <v>16476127.941762837</v>
      </c>
      <c r="AV18" s="21">
        <f t="shared" si="14"/>
        <v>18485154.91337366</v>
      </c>
      <c r="AW18" s="21">
        <f t="shared" si="15"/>
        <v>15393486.710955584</v>
      </c>
      <c r="AX18" s="13">
        <f t="shared" si="100"/>
        <v>0.2</v>
      </c>
      <c r="AY18" s="13">
        <f t="shared" si="124"/>
        <v>0.6</v>
      </c>
      <c r="AZ18" s="13">
        <f t="shared" si="125"/>
        <v>1.2658</v>
      </c>
      <c r="BA18" s="13">
        <f t="shared" si="126"/>
        <v>2.1565585905445999</v>
      </c>
      <c r="BB18" s="13">
        <f t="shared" si="127"/>
        <v>3.3188136365239513</v>
      </c>
      <c r="BC18" s="13">
        <f t="shared" si="128"/>
        <v>4.8251452958941554</v>
      </c>
      <c r="BD18" s="13">
        <f t="shared" si="129"/>
        <v>6.7417311027923557</v>
      </c>
      <c r="BE18" s="13">
        <f t="shared" si="130"/>
        <v>9.1459526796977659</v>
      </c>
      <c r="BF18" s="13">
        <f t="shared" si="131"/>
        <v>11.098964271063183</v>
      </c>
      <c r="BG18" s="13">
        <f t="shared" si="132"/>
        <v>13.299866328079453</v>
      </c>
      <c r="BH18" s="13">
        <f t="shared" si="133"/>
        <v>15.180736275242296</v>
      </c>
      <c r="BI18" s="13">
        <f t="shared" si="134"/>
        <v>16.887786024054829</v>
      </c>
      <c r="BJ18" s="13">
        <f t="shared" si="16"/>
        <v>4.0000000000000001E-3</v>
      </c>
      <c r="BK18" s="13">
        <f t="shared" si="17"/>
        <v>0.01</v>
      </c>
      <c r="BL18" s="13">
        <f t="shared" si="18"/>
        <v>0.02</v>
      </c>
      <c r="BM18" s="13">
        <f t="shared" si="19"/>
        <v>0.03</v>
      </c>
      <c r="BN18" s="30">
        <f t="shared" si="102"/>
        <v>4701556.4805944199</v>
      </c>
      <c r="BO18" s="30">
        <f t="shared" si="103"/>
        <v>1351462.3847285341</v>
      </c>
      <c r="BP18" s="30">
        <f t="shared" si="104"/>
        <v>2693769.0883938628</v>
      </c>
      <c r="BQ18" s="30">
        <f t="shared" si="105"/>
        <v>996268.97901376919</v>
      </c>
      <c r="BR18" s="36">
        <f t="shared" si="20"/>
        <v>0.3</v>
      </c>
      <c r="BS18" s="36">
        <f t="shared" si="21"/>
        <v>0.25</v>
      </c>
      <c r="BT18" s="36">
        <f t="shared" si="22"/>
        <v>0.2</v>
      </c>
      <c r="BU18" s="36">
        <f t="shared" si="23"/>
        <v>0.2</v>
      </c>
      <c r="BV18" s="36">
        <f t="shared" si="24"/>
        <v>0.2</v>
      </c>
      <c r="BW18" s="36">
        <f t="shared" si="25"/>
        <v>0.2</v>
      </c>
      <c r="BX18" s="36">
        <f t="shared" si="26"/>
        <v>0.2</v>
      </c>
      <c r="BY18" s="36">
        <f t="shared" si="27"/>
        <v>0.2</v>
      </c>
      <c r="BZ18" s="36">
        <f t="shared" si="28"/>
        <v>0.2</v>
      </c>
      <c r="CA18" s="36">
        <f t="shared" si="29"/>
        <v>0.2</v>
      </c>
      <c r="CB18" s="36">
        <f t="shared" si="30"/>
        <v>0.2</v>
      </c>
      <c r="CC18" s="36">
        <f t="shared" si="31"/>
        <v>0.2</v>
      </c>
      <c r="CD18" s="35">
        <f t="shared" si="32"/>
        <v>0.36771472796002835</v>
      </c>
      <c r="CE18" s="35">
        <f t="shared" si="33"/>
        <v>0.36771472796002835</v>
      </c>
      <c r="CF18" s="35">
        <f t="shared" si="34"/>
        <v>0.36771472796002835</v>
      </c>
      <c r="CG18" s="35">
        <f t="shared" si="35"/>
        <v>0.36771472796002835</v>
      </c>
      <c r="CH18" s="28">
        <f t="shared" si="36"/>
        <v>0</v>
      </c>
      <c r="CI18" s="28">
        <f t="shared" si="37"/>
        <v>0</v>
      </c>
      <c r="CJ18" s="28">
        <f t="shared" si="38"/>
        <v>15742.436740050831</v>
      </c>
      <c r="CK18" s="28">
        <f t="shared" si="39"/>
        <v>23850.235364857643</v>
      </c>
      <c r="CL18" s="28">
        <f t="shared" si="40"/>
        <v>32479.376751710079</v>
      </c>
      <c r="CM18" s="28">
        <f t="shared" si="41"/>
        <v>31739.436655244073</v>
      </c>
      <c r="CN18" s="28">
        <f t="shared" si="42"/>
        <v>22657.197477612001</v>
      </c>
      <c r="CO18" s="28">
        <f t="shared" si="43"/>
        <v>15655.396841165064</v>
      </c>
      <c r="CP18" s="28">
        <f t="shared" si="44"/>
        <v>9616.1696726856753</v>
      </c>
      <c r="CQ18" s="28">
        <f t="shared" si="45"/>
        <v>5812.3686418135612</v>
      </c>
      <c r="CR18" s="28">
        <f t="shared" si="46"/>
        <v>3329.5169028164682</v>
      </c>
      <c r="CS18" s="28">
        <f t="shared" si="47"/>
        <v>4337.3739056572631</v>
      </c>
      <c r="CT18" s="44">
        <f t="shared" si="106"/>
        <v>0</v>
      </c>
      <c r="CU18" s="44">
        <f t="shared" si="107"/>
        <v>0</v>
      </c>
      <c r="CV18" s="44">
        <f t="shared" si="108"/>
        <v>3.9404889710816481E-2</v>
      </c>
      <c r="CW18" s="44">
        <f t="shared" si="109"/>
        <v>7.290433813695775E-2</v>
      </c>
      <c r="CX18" s="44">
        <f t="shared" si="110"/>
        <v>0.12123681061856571</v>
      </c>
      <c r="CY18" s="44">
        <f t="shared" si="111"/>
        <v>0.18955937306612711</v>
      </c>
      <c r="CZ18" s="44">
        <f t="shared" si="112"/>
        <v>0.28363551203443754</v>
      </c>
      <c r="DA18" s="44">
        <f t="shared" si="113"/>
        <v>0.41062273443004715</v>
      </c>
      <c r="DB18" s="44">
        <f t="shared" si="114"/>
        <v>0.52815626990246123</v>
      </c>
      <c r="DC18" s="44">
        <f t="shared" si="115"/>
        <v>0.66792502146339494</v>
      </c>
      <c r="DD18" s="44">
        <f t="shared" si="116"/>
        <v>0.79961605080741982</v>
      </c>
      <c r="DE18" s="44">
        <f t="shared" si="117"/>
        <v>0.92862052462763112</v>
      </c>
      <c r="DF18" s="21">
        <f t="shared" si="49"/>
        <v>0</v>
      </c>
      <c r="DG18" s="21">
        <f t="shared" si="50"/>
        <v>0</v>
      </c>
      <c r="DH18" s="21">
        <f t="shared" si="51"/>
        <v>0</v>
      </c>
      <c r="DI18" s="21">
        <f t="shared" si="52"/>
        <v>0</v>
      </c>
      <c r="DJ18" s="21">
        <f t="shared" si="118"/>
        <v>57769.16669987778</v>
      </c>
      <c r="DK18" s="21">
        <f t="shared" si="53"/>
        <v>63943.492909236695</v>
      </c>
      <c r="DL18" s="21">
        <f t="shared" si="54"/>
        <v>30506.191376351995</v>
      </c>
      <c r="DM18" s="21">
        <f t="shared" si="55"/>
        <v>14560.07109131279</v>
      </c>
      <c r="DN18" s="21">
        <f t="shared" si="56"/>
        <v>6953.157760793848</v>
      </c>
      <c r="DO18" s="21">
        <f t="shared" si="57"/>
        <v>3323.2869592332813</v>
      </c>
      <c r="DP18" s="21">
        <f t="shared" si="58"/>
        <v>1590.1647654020205</v>
      </c>
      <c r="DQ18" s="21">
        <f t="shared" si="59"/>
        <v>1783.7376918596456</v>
      </c>
      <c r="DR18" s="21">
        <f t="shared" si="60"/>
        <v>0</v>
      </c>
      <c r="DS18" s="21">
        <f t="shared" si="61"/>
        <v>5254181.4235681528</v>
      </c>
      <c r="DT18" s="21">
        <f t="shared" si="62"/>
        <v>5370773.1310458481</v>
      </c>
      <c r="DU18" s="21">
        <f t="shared" si="63"/>
        <v>4472503.7581642242</v>
      </c>
      <c r="DV18" s="13">
        <f t="shared" si="64"/>
        <v>0</v>
      </c>
      <c r="DW18" s="13">
        <f t="shared" si="65"/>
        <v>0</v>
      </c>
      <c r="DX18" s="13">
        <f t="shared" si="66"/>
        <v>0</v>
      </c>
      <c r="DY18" s="13">
        <f t="shared" si="67"/>
        <v>0</v>
      </c>
      <c r="DZ18" s="13">
        <f t="shared" si="68"/>
        <v>191725.09821417971</v>
      </c>
      <c r="EA18" s="13">
        <f t="shared" si="119"/>
        <v>308536.64401404472</v>
      </c>
      <c r="EB18" s="13">
        <f t="shared" si="69"/>
        <v>205664.53922968818</v>
      </c>
      <c r="EC18" s="13">
        <f t="shared" si="70"/>
        <v>133165.72121418218</v>
      </c>
      <c r="ED18" s="13">
        <f t="shared" si="71"/>
        <v>77172.849558116606</v>
      </c>
      <c r="EE18" s="13">
        <f t="shared" si="72"/>
        <v>44199.272327652274</v>
      </c>
      <c r="EF18" s="13">
        <f t="shared" si="73"/>
        <v>24139.87193775061</v>
      </c>
      <c r="EG18" s="13">
        <f t="shared" si="74"/>
        <v>30123.380463167141</v>
      </c>
      <c r="EH18" s="13">
        <f t="shared" si="75"/>
        <v>0</v>
      </c>
      <c r="EI18" s="13">
        <f t="shared" si="76"/>
        <v>52541.81423568153</v>
      </c>
      <c r="EJ18" s="13">
        <f t="shared" si="77"/>
        <v>107415.46262091697</v>
      </c>
      <c r="EK18" s="13">
        <f t="shared" si="78"/>
        <v>134175.11274492671</v>
      </c>
      <c r="EL18" s="21">
        <f t="shared" si="120"/>
        <v>1014727.3769587815</v>
      </c>
      <c r="EM18" s="21">
        <f t="shared" si="121"/>
        <v>294132.38960152521</v>
      </c>
      <c r="EN18" s="21">
        <f t="shared" si="79"/>
        <v>15220910654.381723</v>
      </c>
      <c r="EO18" s="21">
        <f t="shared" si="80"/>
        <v>6617978766.034317</v>
      </c>
      <c r="EP18" s="21">
        <f t="shared" si="81"/>
        <v>12968374224.518465</v>
      </c>
      <c r="EQ18" s="21">
        <f t="shared" si="82"/>
        <v>4518902821.6174889</v>
      </c>
      <c r="ER18" s="21">
        <f t="shared" si="83"/>
        <v>6125826227.091217</v>
      </c>
      <c r="ES18" s="21">
        <f t="shared" si="84"/>
        <v>2134578548.0190976</v>
      </c>
    </row>
    <row r="19" spans="1:149" x14ac:dyDescent="0.25">
      <c r="A19" s="17" t="s">
        <v>17</v>
      </c>
      <c r="B19" s="18"/>
      <c r="O19" s="3">
        <v>17</v>
      </c>
      <c r="P19" s="21">
        <f t="shared" si="122"/>
        <v>450507.28597265156</v>
      </c>
      <c r="Q19" s="21">
        <f t="shared" si="123"/>
        <v>419815.18888336571</v>
      </c>
      <c r="R19" s="13">
        <f t="shared" si="135"/>
        <v>692192.69243521406</v>
      </c>
      <c r="S19" s="13">
        <f t="shared" si="85"/>
        <v>512836.46957331116</v>
      </c>
      <c r="T19" s="13">
        <f t="shared" si="86"/>
        <v>399445.46673908544</v>
      </c>
      <c r="U19" s="13">
        <f t="shared" si="87"/>
        <v>327086.74436224543</v>
      </c>
      <c r="V19" s="13">
        <f t="shared" si="88"/>
        <v>267843.06202291872</v>
      </c>
      <c r="W19" s="13">
        <f t="shared" si="89"/>
        <v>167387.33336752493</v>
      </c>
      <c r="X19" s="13">
        <f t="shared" si="90"/>
        <v>79838.369702807875</v>
      </c>
      <c r="Y19" s="13">
        <f t="shared" si="91"/>
        <v>38089.326599454202</v>
      </c>
      <c r="Z19" s="13">
        <f t="shared" si="92"/>
        <v>18179.368780141795</v>
      </c>
      <c r="AA19" s="13">
        <f t="shared" si="93"/>
        <v>8681.5523308395641</v>
      </c>
      <c r="AB19" s="13">
        <f t="shared" si="94"/>
        <v>4149.3794099799698</v>
      </c>
      <c r="AC19" s="13">
        <f t="shared" si="95"/>
        <v>4652.1593162485606</v>
      </c>
      <c r="AD19" s="13">
        <f t="shared" si="96"/>
        <v>47610557.084129035</v>
      </c>
      <c r="AE19" s="13">
        <f t="shared" si="97"/>
        <v>32959737.789571356</v>
      </c>
      <c r="AF19" s="13">
        <f t="shared" si="98"/>
        <v>18493834.384895526</v>
      </c>
      <c r="AG19" s="13">
        <f t="shared" si="99"/>
        <v>15413671.239039637</v>
      </c>
      <c r="AH19" s="21">
        <f t="shared" si="0"/>
        <v>0</v>
      </c>
      <c r="AI19" s="21">
        <f t="shared" si="1"/>
        <v>1538.5094087199336</v>
      </c>
      <c r="AJ19" s="21">
        <f t="shared" si="2"/>
        <v>19762.03888077581</v>
      </c>
      <c r="AK19" s="21">
        <f t="shared" si="3"/>
        <v>89449.617037169839</v>
      </c>
      <c r="AL19" s="21">
        <f t="shared" si="4"/>
        <v>154869.67786230452</v>
      </c>
      <c r="AM19" s="21">
        <f t="shared" si="5"/>
        <v>135618.97946629886</v>
      </c>
      <c r="AN19" s="21">
        <f t="shared" si="6"/>
        <v>74787.542314240767</v>
      </c>
      <c r="AO19" s="21">
        <f t="shared" si="7"/>
        <v>37497.939686462676</v>
      </c>
      <c r="AP19" s="21">
        <f t="shared" si="8"/>
        <v>18080.817465175762</v>
      </c>
      <c r="AQ19" s="21">
        <f t="shared" si="9"/>
        <v>8655.507673847047</v>
      </c>
      <c r="AR19" s="21">
        <f t="shared" si="10"/>
        <v>4149.3794099799698</v>
      </c>
      <c r="AS19" s="21">
        <f t="shared" si="11"/>
        <v>4652.1593162485606</v>
      </c>
      <c r="AT19" s="21">
        <f t="shared" si="12"/>
        <v>0</v>
      </c>
      <c r="AU19" s="21">
        <f t="shared" si="13"/>
        <v>16479868.894785678</v>
      </c>
      <c r="AV19" s="21">
        <f t="shared" si="14"/>
        <v>18493834.384895526</v>
      </c>
      <c r="AW19" s="21">
        <f t="shared" si="15"/>
        <v>15413671.239039637</v>
      </c>
      <c r="AX19" s="13">
        <f t="shared" si="100"/>
        <v>0.2</v>
      </c>
      <c r="AY19" s="13">
        <f t="shared" si="124"/>
        <v>0.6</v>
      </c>
      <c r="AZ19" s="13">
        <f t="shared" si="125"/>
        <v>1.2658</v>
      </c>
      <c r="BA19" s="13">
        <f t="shared" si="126"/>
        <v>2.1565834227975715</v>
      </c>
      <c r="BB19" s="13">
        <f t="shared" si="127"/>
        <v>3.3188883235708833</v>
      </c>
      <c r="BC19" s="13">
        <f t="shared" si="128"/>
        <v>4.8253062504703479</v>
      </c>
      <c r="BD19" s="13">
        <f t="shared" si="129"/>
        <v>6.7420293886965572</v>
      </c>
      <c r="BE19" s="13">
        <f t="shared" si="130"/>
        <v>9.14645801784682</v>
      </c>
      <c r="BF19" s="13">
        <f t="shared" si="131"/>
        <v>11.099770636748282</v>
      </c>
      <c r="BG19" s="13">
        <f t="shared" si="132"/>
        <v>13.301118965529046</v>
      </c>
      <c r="BH19" s="13">
        <f t="shared" si="133"/>
        <v>15.18264008559164</v>
      </c>
      <c r="BI19" s="13">
        <f t="shared" si="134"/>
        <v>16.890601893024893</v>
      </c>
      <c r="BJ19" s="13">
        <f t="shared" si="16"/>
        <v>4.0000000000000001E-3</v>
      </c>
      <c r="BK19" s="13">
        <f t="shared" si="17"/>
        <v>0.01</v>
      </c>
      <c r="BL19" s="13">
        <f t="shared" si="18"/>
        <v>0.02</v>
      </c>
      <c r="BM19" s="13">
        <f t="shared" si="19"/>
        <v>0.03</v>
      </c>
      <c r="BN19" s="30">
        <f t="shared" si="102"/>
        <v>4699277.2505873153</v>
      </c>
      <c r="BO19" s="30">
        <f t="shared" si="103"/>
        <v>1352326.4311013294</v>
      </c>
      <c r="BP19" s="30">
        <f t="shared" si="104"/>
        <v>2691832.0390402037</v>
      </c>
      <c r="BQ19" s="30">
        <f t="shared" si="105"/>
        <v>997085.51381695643</v>
      </c>
      <c r="BR19" s="36">
        <f t="shared" si="20"/>
        <v>0.3</v>
      </c>
      <c r="BS19" s="36">
        <f t="shared" si="21"/>
        <v>0.25</v>
      </c>
      <c r="BT19" s="36">
        <f t="shared" si="22"/>
        <v>0.2</v>
      </c>
      <c r="BU19" s="36">
        <f t="shared" si="23"/>
        <v>0.2</v>
      </c>
      <c r="BV19" s="36">
        <f t="shared" si="24"/>
        <v>0.2</v>
      </c>
      <c r="BW19" s="36">
        <f t="shared" si="25"/>
        <v>0.2</v>
      </c>
      <c r="BX19" s="36">
        <f t="shared" si="26"/>
        <v>0.2</v>
      </c>
      <c r="BY19" s="36">
        <f t="shared" si="27"/>
        <v>0.2</v>
      </c>
      <c r="BZ19" s="36">
        <f t="shared" si="28"/>
        <v>0.2</v>
      </c>
      <c r="CA19" s="36">
        <f t="shared" si="29"/>
        <v>0.2</v>
      </c>
      <c r="CB19" s="36">
        <f t="shared" si="30"/>
        <v>0.2</v>
      </c>
      <c r="CC19" s="36">
        <f t="shared" si="31"/>
        <v>0.2</v>
      </c>
      <c r="CD19" s="35">
        <f t="shared" si="32"/>
        <v>0.3676055331082354</v>
      </c>
      <c r="CE19" s="35">
        <f t="shared" si="33"/>
        <v>0.3676055331082354</v>
      </c>
      <c r="CF19" s="35">
        <f t="shared" si="34"/>
        <v>0.3676055331082354</v>
      </c>
      <c r="CG19" s="35">
        <f t="shared" si="35"/>
        <v>0.3676055331082354</v>
      </c>
      <c r="CH19" s="28">
        <f t="shared" si="36"/>
        <v>0</v>
      </c>
      <c r="CI19" s="28">
        <f t="shared" si="37"/>
        <v>0</v>
      </c>
      <c r="CJ19" s="28">
        <f t="shared" si="38"/>
        <v>15750.528424083886</v>
      </c>
      <c r="CK19" s="28">
        <f t="shared" si="39"/>
        <v>23861.834618731093</v>
      </c>
      <c r="CL19" s="28">
        <f t="shared" si="40"/>
        <v>32493.943412000855</v>
      </c>
      <c r="CM19" s="28">
        <f t="shared" si="41"/>
        <v>31750.851012195581</v>
      </c>
      <c r="CN19" s="28">
        <f t="shared" si="42"/>
        <v>22659.993487455307</v>
      </c>
      <c r="CO19" s="28">
        <f t="shared" si="43"/>
        <v>15650.701235951547</v>
      </c>
      <c r="CP19" s="28">
        <f t="shared" si="44"/>
        <v>9607.9062152755505</v>
      </c>
      <c r="CQ19" s="28">
        <f t="shared" si="45"/>
        <v>5802.4661587083028</v>
      </c>
      <c r="CR19" s="28">
        <f t="shared" si="46"/>
        <v>3320.1076585138153</v>
      </c>
      <c r="CS19" s="28">
        <f t="shared" si="47"/>
        <v>4322.9515987464729</v>
      </c>
      <c r="CT19" s="44">
        <f t="shared" si="106"/>
        <v>0</v>
      </c>
      <c r="CU19" s="44">
        <f t="shared" si="107"/>
        <v>0</v>
      </c>
      <c r="CV19" s="44">
        <f t="shared" si="108"/>
        <v>3.9430985542694877E-2</v>
      </c>
      <c r="CW19" s="44">
        <f t="shared" si="109"/>
        <v>7.295261893066611E-2</v>
      </c>
      <c r="CX19" s="44">
        <f t="shared" si="110"/>
        <v>0.12131709952307976</v>
      </c>
      <c r="CY19" s="44">
        <f t="shared" si="111"/>
        <v>0.18968490848994915</v>
      </c>
      <c r="CZ19" s="44">
        <f t="shared" si="112"/>
        <v>0.28382334924680164</v>
      </c>
      <c r="DA19" s="44">
        <f t="shared" si="113"/>
        <v>0.41089466874890385</v>
      </c>
      <c r="DB19" s="44">
        <f t="shared" si="114"/>
        <v>0.52850604063716078</v>
      </c>
      <c r="DC19" s="44">
        <f t="shared" si="115"/>
        <v>0.66836735385400436</v>
      </c>
      <c r="DD19" s="44">
        <f t="shared" si="116"/>
        <v>0.80014559539394892</v>
      </c>
      <c r="DE19" s="44">
        <f t="shared" si="117"/>
        <v>0.92923550224252505</v>
      </c>
      <c r="DF19" s="21">
        <f t="shared" si="49"/>
        <v>0</v>
      </c>
      <c r="DG19" s="21">
        <f t="shared" si="50"/>
        <v>0</v>
      </c>
      <c r="DH19" s="21">
        <f t="shared" si="51"/>
        <v>0</v>
      </c>
      <c r="DI19" s="21">
        <f t="shared" si="52"/>
        <v>0</v>
      </c>
      <c r="DJ19" s="21">
        <f t="shared" si="118"/>
        <v>57756.826190503736</v>
      </c>
      <c r="DK19" s="21">
        <f t="shared" si="53"/>
        <v>63924.155032585746</v>
      </c>
      <c r="DL19" s="21">
        <f t="shared" si="54"/>
        <v>30489.764187983321</v>
      </c>
      <c r="DM19" s="21">
        <f t="shared" si="55"/>
        <v>14546.070898233731</v>
      </c>
      <c r="DN19" s="21">
        <f t="shared" si="56"/>
        <v>6942.5849908532809</v>
      </c>
      <c r="DO19" s="21">
        <f t="shared" si="57"/>
        <v>3315.4294650336024</v>
      </c>
      <c r="DP19" s="21">
        <f t="shared" si="58"/>
        <v>1584.6215323246163</v>
      </c>
      <c r="DQ19" s="21">
        <f t="shared" si="59"/>
        <v>1776.6299718462285</v>
      </c>
      <c r="DR19" s="21">
        <f t="shared" si="60"/>
        <v>0</v>
      </c>
      <c r="DS19" s="21">
        <f t="shared" si="61"/>
        <v>5255633.8692510808</v>
      </c>
      <c r="DT19" s="21">
        <f t="shared" si="62"/>
        <v>5373550.1728205374</v>
      </c>
      <c r="DU19" s="21">
        <f t="shared" si="63"/>
        <v>4478581.0247109709</v>
      </c>
      <c r="DV19" s="13">
        <f t="shared" si="64"/>
        <v>0</v>
      </c>
      <c r="DW19" s="13">
        <f t="shared" si="65"/>
        <v>0</v>
      </c>
      <c r="DX19" s="13">
        <f t="shared" si="66"/>
        <v>0</v>
      </c>
      <c r="DY19" s="13">
        <f t="shared" si="67"/>
        <v>0</v>
      </c>
      <c r="DZ19" s="13">
        <f t="shared" si="68"/>
        <v>191688.45605017582</v>
      </c>
      <c r="EA19" s="13">
        <f t="shared" si="119"/>
        <v>308453.62483477156</v>
      </c>
      <c r="EB19" s="13">
        <f t="shared" si="69"/>
        <v>205562.88620981138</v>
      </c>
      <c r="EC19" s="13">
        <f t="shared" si="70"/>
        <v>133045.0267953182</v>
      </c>
      <c r="ED19" s="13">
        <f t="shared" si="71"/>
        <v>77061.101024602583</v>
      </c>
      <c r="EE19" s="13">
        <f t="shared" si="72"/>
        <v>44098.921736232267</v>
      </c>
      <c r="EF19" s="13">
        <f t="shared" si="73"/>
        <v>24058.738397163368</v>
      </c>
      <c r="EG19" s="13">
        <f t="shared" si="74"/>
        <v>30008.349565670669</v>
      </c>
      <c r="EH19" s="13">
        <f t="shared" si="75"/>
        <v>0</v>
      </c>
      <c r="EI19" s="13">
        <f t="shared" si="76"/>
        <v>52556.338692510806</v>
      </c>
      <c r="EJ19" s="13">
        <f t="shared" si="77"/>
        <v>107471.00345641075</v>
      </c>
      <c r="EK19" s="13">
        <f t="shared" si="78"/>
        <v>134357.43074132912</v>
      </c>
      <c r="EL19" s="21">
        <f t="shared" si="120"/>
        <v>1013977.1046137458</v>
      </c>
      <c r="EM19" s="21">
        <f t="shared" si="121"/>
        <v>294384.77289025066</v>
      </c>
      <c r="EN19" s="21">
        <f t="shared" si="79"/>
        <v>15209656569.206188</v>
      </c>
      <c r="EO19" s="21">
        <f t="shared" si="80"/>
        <v>6623657390.0306396</v>
      </c>
      <c r="EP19" s="21">
        <f t="shared" si="81"/>
        <v>12957120139.34293</v>
      </c>
      <c r="EQ19" s="21">
        <f t="shared" si="82"/>
        <v>4524581445.6138115</v>
      </c>
      <c r="ER19" s="21">
        <f t="shared" si="83"/>
        <v>5822009370.153348</v>
      </c>
      <c r="ES19" s="21">
        <f t="shared" si="84"/>
        <v>2033025494.0216548</v>
      </c>
    </row>
    <row r="20" spans="1:149" x14ac:dyDescent="0.25">
      <c r="A20" s="19" t="s">
        <v>18</v>
      </c>
      <c r="B20" s="19">
        <v>0.05</v>
      </c>
      <c r="H20" s="34"/>
      <c r="O20" s="3">
        <v>18</v>
      </c>
      <c r="P20" s="21">
        <f t="shared" si="122"/>
        <v>450507.28597265156</v>
      </c>
      <c r="Q20" s="21">
        <f t="shared" si="123"/>
        <v>419815.18888336571</v>
      </c>
      <c r="R20" s="13">
        <f t="shared" si="135"/>
        <v>692145.84494869784</v>
      </c>
      <c r="S20" s="13">
        <f t="shared" si="85"/>
        <v>512788.95877874288</v>
      </c>
      <c r="T20" s="13">
        <f t="shared" si="86"/>
        <v>399397.44409126946</v>
      </c>
      <c r="U20" s="13">
        <f t="shared" si="87"/>
        <v>327038.28779687738</v>
      </c>
      <c r="V20" s="13">
        <f t="shared" si="88"/>
        <v>267795.97653352655</v>
      </c>
      <c r="W20" s="13">
        <f t="shared" si="89"/>
        <v>167351.57649107126</v>
      </c>
      <c r="X20" s="13">
        <f t="shared" si="90"/>
        <v>79814.224876257387</v>
      </c>
      <c r="Y20" s="13">
        <f t="shared" si="91"/>
        <v>38068.815991126663</v>
      </c>
      <c r="Z20" s="13">
        <f t="shared" si="92"/>
        <v>18161.88846212815</v>
      </c>
      <c r="AA20" s="13">
        <f t="shared" si="93"/>
        <v>8668.3514142663043</v>
      </c>
      <c r="AB20" s="13">
        <f t="shared" si="94"/>
        <v>4139.5687240397738</v>
      </c>
      <c r="AC20" s="13">
        <f t="shared" si="95"/>
        <v>4634.8312658064297</v>
      </c>
      <c r="AD20" s="13">
        <f t="shared" si="96"/>
        <v>47612420.411694251</v>
      </c>
      <c r="AE20" s="13">
        <f t="shared" si="97"/>
        <v>32965085.658159621</v>
      </c>
      <c r="AF20" s="13">
        <f t="shared" si="98"/>
        <v>18500053.464373123</v>
      </c>
      <c r="AG20" s="13">
        <f t="shared" si="99"/>
        <v>15428488.032050163</v>
      </c>
      <c r="AH20" s="21">
        <f t="shared" si="0"/>
        <v>0</v>
      </c>
      <c r="AI20" s="21">
        <f t="shared" si="1"/>
        <v>1538.3668763362286</v>
      </c>
      <c r="AJ20" s="21">
        <f t="shared" si="2"/>
        <v>19759.663023462806</v>
      </c>
      <c r="AK20" s="21">
        <f t="shared" si="3"/>
        <v>89436.365441714443</v>
      </c>
      <c r="AL20" s="21">
        <f t="shared" si="4"/>
        <v>154842.45253670122</v>
      </c>
      <c r="AM20" s="21">
        <f t="shared" si="5"/>
        <v>135590.00886860793</v>
      </c>
      <c r="AN20" s="21">
        <f t="shared" si="6"/>
        <v>74764.924965664686</v>
      </c>
      <c r="AO20" s="21">
        <f t="shared" si="7"/>
        <v>37477.747532317066</v>
      </c>
      <c r="AP20" s="21">
        <f t="shared" si="8"/>
        <v>18063.431908886087</v>
      </c>
      <c r="AQ20" s="21">
        <f t="shared" si="9"/>
        <v>8642.3463600235063</v>
      </c>
      <c r="AR20" s="21">
        <f t="shared" si="10"/>
        <v>4139.5687240397738</v>
      </c>
      <c r="AS20" s="21">
        <f t="shared" si="11"/>
        <v>4634.8312658064297</v>
      </c>
      <c r="AT20" s="21">
        <f t="shared" si="12"/>
        <v>0</v>
      </c>
      <c r="AU20" s="21">
        <f t="shared" si="13"/>
        <v>16482542.829079811</v>
      </c>
      <c r="AV20" s="21">
        <f t="shared" si="14"/>
        <v>18500053.464373123</v>
      </c>
      <c r="AW20" s="21">
        <f t="shared" si="15"/>
        <v>15428488.032050163</v>
      </c>
      <c r="AX20" s="13">
        <f t="shared" si="100"/>
        <v>0.2</v>
      </c>
      <c r="AY20" s="13">
        <f t="shared" si="124"/>
        <v>0.6</v>
      </c>
      <c r="AZ20" s="13">
        <f t="shared" si="125"/>
        <v>1.2658</v>
      </c>
      <c r="BA20" s="13">
        <f t="shared" si="126"/>
        <v>2.1566016898798863</v>
      </c>
      <c r="BB20" s="13">
        <f t="shared" si="127"/>
        <v>3.3189435727238914</v>
      </c>
      <c r="BC20" s="13">
        <f t="shared" si="128"/>
        <v>4.8254258993038084</v>
      </c>
      <c r="BD20" s="13">
        <f t="shared" si="129"/>
        <v>6.742251855630423</v>
      </c>
      <c r="BE20" s="13">
        <f t="shared" si="130"/>
        <v>9.1468351953802127</v>
      </c>
      <c r="BF20" s="13">
        <f t="shared" si="131"/>
        <v>11.100371151908936</v>
      </c>
      <c r="BG20" s="13">
        <f t="shared" si="132"/>
        <v>13.302047750971289</v>
      </c>
      <c r="BH20" s="13">
        <f t="shared" si="133"/>
        <v>15.184047539377946</v>
      </c>
      <c r="BI20" s="13">
        <f t="shared" si="134"/>
        <v>16.892691043979521</v>
      </c>
      <c r="BJ20" s="13">
        <f t="shared" si="16"/>
        <v>4.0000000000000001E-3</v>
      </c>
      <c r="BK20" s="13">
        <f t="shared" si="17"/>
        <v>0.01</v>
      </c>
      <c r="BL20" s="13">
        <f t="shared" si="18"/>
        <v>0.02</v>
      </c>
      <c r="BM20" s="13">
        <f t="shared" si="19"/>
        <v>0.03</v>
      </c>
      <c r="BN20" s="30">
        <f t="shared" si="102"/>
        <v>4697691.0195407812</v>
      </c>
      <c r="BO20" s="30">
        <f t="shared" si="103"/>
        <v>1352956.2484773404</v>
      </c>
      <c r="BP20" s="30">
        <f t="shared" si="104"/>
        <v>2690514.9391400358</v>
      </c>
      <c r="BQ20" s="30">
        <f t="shared" si="105"/>
        <v>997681.13853976526</v>
      </c>
      <c r="BR20" s="36">
        <f t="shared" si="20"/>
        <v>0.3</v>
      </c>
      <c r="BS20" s="36">
        <f t="shared" si="21"/>
        <v>0.25</v>
      </c>
      <c r="BT20" s="36">
        <f t="shared" si="22"/>
        <v>0.2</v>
      </c>
      <c r="BU20" s="36">
        <f t="shared" si="23"/>
        <v>0.2</v>
      </c>
      <c r="BV20" s="36">
        <f t="shared" si="24"/>
        <v>0.2</v>
      </c>
      <c r="BW20" s="36">
        <f t="shared" si="25"/>
        <v>0.2</v>
      </c>
      <c r="BX20" s="36">
        <f t="shared" si="26"/>
        <v>0.2</v>
      </c>
      <c r="BY20" s="36">
        <f t="shared" si="27"/>
        <v>0.2</v>
      </c>
      <c r="BZ20" s="36">
        <f t="shared" si="28"/>
        <v>0.2</v>
      </c>
      <c r="CA20" s="36">
        <f t="shared" si="29"/>
        <v>0.2</v>
      </c>
      <c r="CB20" s="36">
        <f t="shared" si="30"/>
        <v>0.2</v>
      </c>
      <c r="CC20" s="36">
        <f t="shared" si="31"/>
        <v>0.2</v>
      </c>
      <c r="CD20" s="35">
        <f t="shared" si="32"/>
        <v>0.36752923034808105</v>
      </c>
      <c r="CE20" s="35">
        <f t="shared" si="33"/>
        <v>0.36752923034808105</v>
      </c>
      <c r="CF20" s="35">
        <f t="shared" si="34"/>
        <v>0.36752923034808105</v>
      </c>
      <c r="CG20" s="35">
        <f t="shared" si="35"/>
        <v>0.36752923034808105</v>
      </c>
      <c r="CH20" s="28">
        <f t="shared" si="36"/>
        <v>0</v>
      </c>
      <c r="CI20" s="28">
        <f t="shared" si="37"/>
        <v>0</v>
      </c>
      <c r="CJ20" s="28">
        <f t="shared" si="38"/>
        <v>15756.208658139974</v>
      </c>
      <c r="CK20" s="28">
        <f t="shared" si="39"/>
        <v>23869.773489912739</v>
      </c>
      <c r="CL20" s="28">
        <f t="shared" si="40"/>
        <v>32503.855337753484</v>
      </c>
      <c r="CM20" s="28">
        <f t="shared" si="41"/>
        <v>31759.334791305853</v>
      </c>
      <c r="CN20" s="28">
        <f t="shared" si="42"/>
        <v>22664.034942857867</v>
      </c>
      <c r="CO20" s="28">
        <f t="shared" si="43"/>
        <v>15649.796199573713</v>
      </c>
      <c r="CP20" s="28">
        <f t="shared" si="44"/>
        <v>9603.2839412831454</v>
      </c>
      <c r="CQ20" s="28">
        <f t="shared" si="45"/>
        <v>5796.4293688483685</v>
      </c>
      <c r="CR20" s="28">
        <f t="shared" si="46"/>
        <v>3313.8506083219327</v>
      </c>
      <c r="CS20" s="28">
        <f t="shared" si="47"/>
        <v>4308.9210040589132</v>
      </c>
      <c r="CT20" s="44">
        <f t="shared" si="106"/>
        <v>0</v>
      </c>
      <c r="CU20" s="44">
        <f t="shared" si="107"/>
        <v>0</v>
      </c>
      <c r="CV20" s="44">
        <f t="shared" si="108"/>
        <v>3.9449948644487066E-2</v>
      </c>
      <c r="CW20" s="44">
        <f t="shared" si="109"/>
        <v>7.2987703215772068E-2</v>
      </c>
      <c r="CX20" s="44">
        <f t="shared" si="110"/>
        <v>0.12137544319559329</v>
      </c>
      <c r="CY20" s="44">
        <f t="shared" si="111"/>
        <v>0.18977613152631589</v>
      </c>
      <c r="CZ20" s="44">
        <f t="shared" si="112"/>
        <v>0.28395984522803797</v>
      </c>
      <c r="DA20" s="44">
        <f t="shared" si="113"/>
        <v>0.41109227571515422</v>
      </c>
      <c r="DB20" s="44">
        <f t="shared" si="114"/>
        <v>0.52876020912188026</v>
      </c>
      <c r="DC20" s="44">
        <f t="shared" si="115"/>
        <v>0.66868878427201861</v>
      </c>
      <c r="DD20" s="44">
        <f t="shared" si="116"/>
        <v>0.80053040044422086</v>
      </c>
      <c r="DE20" s="44">
        <f t="shared" si="117"/>
        <v>0.92968238905439204</v>
      </c>
      <c r="DF20" s="21">
        <f t="shared" si="49"/>
        <v>0</v>
      </c>
      <c r="DG20" s="21">
        <f t="shared" si="50"/>
        <v>0</v>
      </c>
      <c r="DH20" s="21">
        <f t="shared" si="51"/>
        <v>0</v>
      </c>
      <c r="DI20" s="21">
        <f t="shared" si="52"/>
        <v>0</v>
      </c>
      <c r="DJ20" s="21">
        <f t="shared" si="118"/>
        <v>57746.672825296599</v>
      </c>
      <c r="DK20" s="21">
        <f t="shared" si="53"/>
        <v>63910.499709522039</v>
      </c>
      <c r="DL20" s="21">
        <f t="shared" si="54"/>
        <v>30480.543432717091</v>
      </c>
      <c r="DM20" s="21">
        <f t="shared" si="55"/>
        <v>14538.23802772815</v>
      </c>
      <c r="DN20" s="21">
        <f t="shared" si="56"/>
        <v>6935.9093688916737</v>
      </c>
      <c r="DO20" s="21">
        <f t="shared" si="57"/>
        <v>3310.388119188463</v>
      </c>
      <c r="DP20" s="21">
        <f t="shared" si="58"/>
        <v>1580.874893935676</v>
      </c>
      <c r="DQ20" s="21">
        <f t="shared" si="59"/>
        <v>1770.0124998990341</v>
      </c>
      <c r="DR20" s="21">
        <f t="shared" si="60"/>
        <v>0</v>
      </c>
      <c r="DS20" s="21">
        <f t="shared" si="61"/>
        <v>5256667.9703716021</v>
      </c>
      <c r="DT20" s="21">
        <f t="shared" si="62"/>
        <v>5375535.6242990997</v>
      </c>
      <c r="DU20" s="21">
        <f t="shared" si="63"/>
        <v>4483034.9925785083</v>
      </c>
      <c r="DV20" s="13">
        <f t="shared" si="64"/>
        <v>0</v>
      </c>
      <c r="DW20" s="13">
        <f t="shared" si="65"/>
        <v>0</v>
      </c>
      <c r="DX20" s="13">
        <f t="shared" si="66"/>
        <v>0</v>
      </c>
      <c r="DY20" s="13">
        <f t="shared" si="67"/>
        <v>0</v>
      </c>
      <c r="DZ20" s="13">
        <f t="shared" si="68"/>
        <v>191657.94861970755</v>
      </c>
      <c r="EA20" s="13">
        <f t="shared" si="119"/>
        <v>308395.38053577614</v>
      </c>
      <c r="EB20" s="13">
        <f t="shared" si="69"/>
        <v>205507.50051986051</v>
      </c>
      <c r="EC20" s="13">
        <f t="shared" si="70"/>
        <v>132978.86727083885</v>
      </c>
      <c r="ED20" s="13">
        <f t="shared" si="71"/>
        <v>76991.168270700044</v>
      </c>
      <c r="EE20" s="13">
        <f t="shared" si="72"/>
        <v>44034.940835692971</v>
      </c>
      <c r="EF20" s="13">
        <f t="shared" si="73"/>
        <v>24004.079543328375</v>
      </c>
      <c r="EG20" s="13">
        <f t="shared" si="74"/>
        <v>29900.274304776216</v>
      </c>
      <c r="EH20" s="13">
        <f t="shared" si="75"/>
        <v>0</v>
      </c>
      <c r="EI20" s="13">
        <f t="shared" si="76"/>
        <v>52566.679703716021</v>
      </c>
      <c r="EJ20" s="13">
        <f t="shared" si="77"/>
        <v>107510.71248598199</v>
      </c>
      <c r="EK20" s="13">
        <f t="shared" si="78"/>
        <v>134491.04977735525</v>
      </c>
      <c r="EL20" s="21">
        <f t="shared" si="120"/>
        <v>1013470.1599006805</v>
      </c>
      <c r="EM20" s="21">
        <f t="shared" si="121"/>
        <v>294568.44196705322</v>
      </c>
      <c r="EN20" s="21">
        <f t="shared" si="79"/>
        <v>15202052398.510208</v>
      </c>
      <c r="EO20" s="21">
        <f t="shared" si="80"/>
        <v>6627789944.2586975</v>
      </c>
      <c r="EP20" s="21">
        <f t="shared" si="81"/>
        <v>12949515968.64695</v>
      </c>
      <c r="EQ20" s="21">
        <f t="shared" si="82"/>
        <v>4528713999.8418694</v>
      </c>
      <c r="ER20" s="21">
        <f t="shared" si="83"/>
        <v>5534816486.5081854</v>
      </c>
      <c r="ES20" s="21">
        <f t="shared" si="84"/>
        <v>1935639986.0576582</v>
      </c>
    </row>
    <row r="21" spans="1:149" x14ac:dyDescent="0.25">
      <c r="A21" s="19" t="s">
        <v>0</v>
      </c>
      <c r="B21" s="19">
        <v>15000</v>
      </c>
      <c r="O21" s="3">
        <v>19</v>
      </c>
      <c r="P21" s="21">
        <f t="shared" si="122"/>
        <v>450507.28597265156</v>
      </c>
      <c r="Q21" s="21">
        <f t="shared" si="123"/>
        <v>419815.18888336571</v>
      </c>
      <c r="R21" s="13">
        <f t="shared" si="135"/>
        <v>692112.82989749475</v>
      </c>
      <c r="S21" s="13">
        <f t="shared" si="85"/>
        <v>512754.25330713851</v>
      </c>
      <c r="T21" s="13">
        <f t="shared" si="86"/>
        <v>399360.44264725532</v>
      </c>
      <c r="U21" s="13">
        <f t="shared" si="87"/>
        <v>326998.97017826617</v>
      </c>
      <c r="V21" s="13">
        <f t="shared" si="88"/>
        <v>267756.30365327117</v>
      </c>
      <c r="W21" s="13">
        <f t="shared" si="89"/>
        <v>167322.15690924556</v>
      </c>
      <c r="X21" s="13">
        <f t="shared" si="90"/>
        <v>79797.175154986777</v>
      </c>
      <c r="Y21" s="13">
        <f t="shared" si="91"/>
        <v>38057.303168877035</v>
      </c>
      <c r="Z21" s="13">
        <f t="shared" si="92"/>
        <v>18152.108520764199</v>
      </c>
      <c r="AA21" s="13">
        <f t="shared" si="93"/>
        <v>8660.0163867299852</v>
      </c>
      <c r="AB21" s="13">
        <f t="shared" si="94"/>
        <v>4133.2742159503387</v>
      </c>
      <c r="AC21" s="13">
        <f t="shared" si="95"/>
        <v>4620.8551621730658</v>
      </c>
      <c r="AD21" s="13">
        <f t="shared" si="96"/>
        <v>47613777.791700594</v>
      </c>
      <c r="AE21" s="13">
        <f t="shared" si="97"/>
        <v>32968891.329439491</v>
      </c>
      <c r="AF21" s="13">
        <f t="shared" si="98"/>
        <v>18504467.070923455</v>
      </c>
      <c r="AG21" s="13">
        <f t="shared" si="99"/>
        <v>15439237.72100845</v>
      </c>
      <c r="AH21" s="21">
        <f t="shared" si="0"/>
        <v>0</v>
      </c>
      <c r="AI21" s="21">
        <f t="shared" si="1"/>
        <v>1538.2627599214156</v>
      </c>
      <c r="AJ21" s="21">
        <f t="shared" si="2"/>
        <v>19757.832425706318</v>
      </c>
      <c r="AK21" s="21">
        <f t="shared" si="3"/>
        <v>89425.61310769846</v>
      </c>
      <c r="AL21" s="21">
        <f t="shared" si="4"/>
        <v>154819.51325972829</v>
      </c>
      <c r="AM21" s="21">
        <f t="shared" si="5"/>
        <v>135566.17281373293</v>
      </c>
      <c r="AN21" s="21">
        <f t="shared" si="6"/>
        <v>74748.953863602874</v>
      </c>
      <c r="AO21" s="21">
        <f t="shared" si="7"/>
        <v>37466.413461781311</v>
      </c>
      <c r="AP21" s="21">
        <f t="shared" si="8"/>
        <v>18053.704985099004</v>
      </c>
      <c r="AQ21" s="21">
        <f t="shared" si="9"/>
        <v>8634.0363375697962</v>
      </c>
      <c r="AR21" s="21">
        <f t="shared" si="10"/>
        <v>4133.2742159503387</v>
      </c>
      <c r="AS21" s="21">
        <f t="shared" si="11"/>
        <v>4620.8551621730658</v>
      </c>
      <c r="AT21" s="21">
        <f t="shared" si="12"/>
        <v>0</v>
      </c>
      <c r="AU21" s="21">
        <f t="shared" si="13"/>
        <v>16484445.664719746</v>
      </c>
      <c r="AV21" s="21">
        <f t="shared" si="14"/>
        <v>18504467.070923455</v>
      </c>
      <c r="AW21" s="21">
        <f t="shared" si="15"/>
        <v>15439237.72100845</v>
      </c>
      <c r="AX21" s="13">
        <f t="shared" si="100"/>
        <v>0.2</v>
      </c>
      <c r="AY21" s="13">
        <f t="shared" si="124"/>
        <v>0.6</v>
      </c>
      <c r="AZ21" s="13">
        <f t="shared" si="125"/>
        <v>1.2658</v>
      </c>
      <c r="BA21" s="13">
        <f t="shared" si="126"/>
        <v>2.1566149640511409</v>
      </c>
      <c r="BB21" s="13">
        <f t="shared" si="127"/>
        <v>3.318983942905823</v>
      </c>
      <c r="BC21" s="13">
        <f t="shared" si="128"/>
        <v>4.8255138209134234</v>
      </c>
      <c r="BD21" s="13">
        <f t="shared" si="129"/>
        <v>6.742416203751703</v>
      </c>
      <c r="BE21" s="13">
        <f t="shared" si="130"/>
        <v>9.1471149906261999</v>
      </c>
      <c r="BF21" s="13">
        <f t="shared" si="131"/>
        <v>11.100817491880518</v>
      </c>
      <c r="BG21" s="13">
        <f t="shared" si="132"/>
        <v>13.302737225101595</v>
      </c>
      <c r="BH21" s="13">
        <f t="shared" si="133"/>
        <v>15.185088825466494</v>
      </c>
      <c r="BI21" s="13">
        <f t="shared" si="134"/>
        <v>16.894233179533423</v>
      </c>
      <c r="BJ21" s="13">
        <f t="shared" si="16"/>
        <v>4.0000000000000001E-3</v>
      </c>
      <c r="BK21" s="13">
        <f t="shared" si="17"/>
        <v>0.01</v>
      </c>
      <c r="BL21" s="13">
        <f t="shared" si="18"/>
        <v>0.02</v>
      </c>
      <c r="BM21" s="13">
        <f t="shared" si="19"/>
        <v>0.03</v>
      </c>
      <c r="BN21" s="30">
        <f t="shared" si="102"/>
        <v>4696566.0936748814</v>
      </c>
      <c r="BO21" s="30">
        <f t="shared" si="103"/>
        <v>1353410.4975099198</v>
      </c>
      <c r="BP21" s="30">
        <f t="shared" si="104"/>
        <v>2689604.2478114907</v>
      </c>
      <c r="BQ21" s="30">
        <f t="shared" si="105"/>
        <v>998110.92969592009</v>
      </c>
      <c r="BR21" s="36">
        <f t="shared" si="20"/>
        <v>0.3</v>
      </c>
      <c r="BS21" s="36">
        <f t="shared" si="21"/>
        <v>0.25</v>
      </c>
      <c r="BT21" s="36">
        <f t="shared" si="22"/>
        <v>0.2</v>
      </c>
      <c r="BU21" s="36">
        <f t="shared" si="23"/>
        <v>0.2</v>
      </c>
      <c r="BV21" s="36">
        <f t="shared" si="24"/>
        <v>0.2</v>
      </c>
      <c r="BW21" s="36">
        <f t="shared" si="25"/>
        <v>0.2</v>
      </c>
      <c r="BX21" s="36">
        <f t="shared" si="26"/>
        <v>0.2</v>
      </c>
      <c r="BY21" s="36">
        <f t="shared" si="27"/>
        <v>0.2</v>
      </c>
      <c r="BZ21" s="36">
        <f t="shared" si="28"/>
        <v>0.2</v>
      </c>
      <c r="CA21" s="36">
        <f t="shared" si="29"/>
        <v>0.2</v>
      </c>
      <c r="CB21" s="36">
        <f t="shared" si="30"/>
        <v>0.2</v>
      </c>
      <c r="CC21" s="36">
        <f t="shared" si="31"/>
        <v>0.2</v>
      </c>
      <c r="CD21" s="35">
        <f t="shared" si="32"/>
        <v>0.36747541107408777</v>
      </c>
      <c r="CE21" s="35">
        <f t="shared" si="33"/>
        <v>0.36747541107408777</v>
      </c>
      <c r="CF21" s="35">
        <f t="shared" si="34"/>
        <v>0.36747541107408777</v>
      </c>
      <c r="CG21" s="35">
        <f t="shared" si="35"/>
        <v>0.36747541107408777</v>
      </c>
      <c r="CH21" s="28">
        <f t="shared" si="36"/>
        <v>0</v>
      </c>
      <c r="CI21" s="28">
        <f t="shared" si="37"/>
        <v>0</v>
      </c>
      <c r="CJ21" s="28">
        <f t="shared" si="38"/>
        <v>15760.202348414798</v>
      </c>
      <c r="CK21" s="28">
        <f t="shared" si="39"/>
        <v>23875.165147812331</v>
      </c>
      <c r="CL21" s="28">
        <f t="shared" si="40"/>
        <v>32510.289338043363</v>
      </c>
      <c r="CM21" s="28">
        <f t="shared" si="41"/>
        <v>31764.742994272543</v>
      </c>
      <c r="CN21" s="28">
        <f t="shared" si="42"/>
        <v>22667.036826818614</v>
      </c>
      <c r="CO21" s="28">
        <f t="shared" si="43"/>
        <v>15650.478795723486</v>
      </c>
      <c r="CP21" s="28">
        <f t="shared" si="44"/>
        <v>9601.4350165235337</v>
      </c>
      <c r="CQ21" s="28">
        <f t="shared" si="45"/>
        <v>5792.8602933607772</v>
      </c>
      <c r="CR21" s="28">
        <f t="shared" si="46"/>
        <v>3309.9569850835906</v>
      </c>
      <c r="CS21" s="28">
        <f t="shared" si="47"/>
        <v>4297.4146717357526</v>
      </c>
      <c r="CT21" s="44">
        <f t="shared" si="106"/>
        <v>0</v>
      </c>
      <c r="CU21" s="44">
        <f t="shared" si="107"/>
        <v>0</v>
      </c>
      <c r="CV21" s="44">
        <f t="shared" si="108"/>
        <v>3.946360396624303E-2</v>
      </c>
      <c r="CW21" s="44">
        <f t="shared" si="109"/>
        <v>7.3012967394963324E-2</v>
      </c>
      <c r="CX21" s="44">
        <f t="shared" si="110"/>
        <v>0.12141745645003486</v>
      </c>
      <c r="CY21" s="44">
        <f t="shared" si="111"/>
        <v>0.18984182119706675</v>
      </c>
      <c r="CZ21" s="44">
        <f t="shared" si="112"/>
        <v>0.2840581359276611</v>
      </c>
      <c r="DA21" s="44">
        <f t="shared" si="113"/>
        <v>0.41123457240980554</v>
      </c>
      <c r="DB21" s="44">
        <f t="shared" si="114"/>
        <v>0.5289432357425834</v>
      </c>
      <c r="DC21" s="44">
        <f t="shared" si="115"/>
        <v>0.66892024618306256</v>
      </c>
      <c r="DD21" s="44">
        <f t="shared" si="116"/>
        <v>0.80080749840173671</v>
      </c>
      <c r="DE21" s="44">
        <f t="shared" si="117"/>
        <v>0.93000419206275065</v>
      </c>
      <c r="DF21" s="21">
        <f t="shared" si="49"/>
        <v>0</v>
      </c>
      <c r="DG21" s="21">
        <f t="shared" si="50"/>
        <v>0</v>
      </c>
      <c r="DH21" s="21">
        <f t="shared" si="51"/>
        <v>0</v>
      </c>
      <c r="DI21" s="21">
        <f t="shared" si="52"/>
        <v>0</v>
      </c>
      <c r="DJ21" s="21">
        <f t="shared" si="118"/>
        <v>57738.117891552625</v>
      </c>
      <c r="DK21" s="21">
        <f t="shared" si="53"/>
        <v>63899.2645588581</v>
      </c>
      <c r="DL21" s="21">
        <f t="shared" si="54"/>
        <v>30474.032252905345</v>
      </c>
      <c r="DM21" s="21">
        <f t="shared" si="55"/>
        <v>14533.841354338701</v>
      </c>
      <c r="DN21" s="21">
        <f t="shared" si="56"/>
        <v>6932.1744716603152</v>
      </c>
      <c r="DO21" s="21">
        <f t="shared" si="57"/>
        <v>3307.205025332355</v>
      </c>
      <c r="DP21" s="21">
        <f t="shared" si="58"/>
        <v>1578.4710614420942</v>
      </c>
      <c r="DQ21" s="21">
        <f t="shared" si="59"/>
        <v>1764.6751150597106</v>
      </c>
      <c r="DR21" s="21">
        <f t="shared" si="60"/>
        <v>0</v>
      </c>
      <c r="DS21" s="21">
        <f t="shared" si="61"/>
        <v>5257402.7625867715</v>
      </c>
      <c r="DT21" s="21">
        <f t="shared" si="62"/>
        <v>5376943.977075207</v>
      </c>
      <c r="DU21" s="21">
        <f t="shared" si="63"/>
        <v>4486263.5576819051</v>
      </c>
      <c r="DV21" s="13">
        <f t="shared" si="64"/>
        <v>0</v>
      </c>
      <c r="DW21" s="13">
        <f t="shared" si="65"/>
        <v>0</v>
      </c>
      <c r="DX21" s="13">
        <f t="shared" si="66"/>
        <v>0</v>
      </c>
      <c r="DY21" s="13">
        <f t="shared" si="67"/>
        <v>0</v>
      </c>
      <c r="DZ21" s="13">
        <f t="shared" si="68"/>
        <v>191631.88617566659</v>
      </c>
      <c r="EA21" s="13">
        <f t="shared" si="119"/>
        <v>308346.78427497303</v>
      </c>
      <c r="EB21" s="13">
        <f t="shared" si="69"/>
        <v>205468.60885564101</v>
      </c>
      <c r="EC21" s="13">
        <f t="shared" si="70"/>
        <v>132942.71812365451</v>
      </c>
      <c r="ED21" s="13">
        <f t="shared" si="71"/>
        <v>76952.803631774412</v>
      </c>
      <c r="EE21" s="13">
        <f t="shared" si="72"/>
        <v>43994.879401531784</v>
      </c>
      <c r="EF21" s="13">
        <f t="shared" si="73"/>
        <v>23969.223276426579</v>
      </c>
      <c r="EG21" s="13">
        <f t="shared" si="74"/>
        <v>29812.832879938724</v>
      </c>
      <c r="EH21" s="13">
        <f t="shared" si="75"/>
        <v>0</v>
      </c>
      <c r="EI21" s="13">
        <f t="shared" si="76"/>
        <v>52574.027625867719</v>
      </c>
      <c r="EJ21" s="13">
        <f t="shared" si="77"/>
        <v>107538.87954150414</v>
      </c>
      <c r="EK21" s="13">
        <f t="shared" si="78"/>
        <v>134587.90673045715</v>
      </c>
      <c r="EL21" s="21">
        <f t="shared" si="120"/>
        <v>1013119.7366196066</v>
      </c>
      <c r="EM21" s="21">
        <f t="shared" si="121"/>
        <v>294700.81389782904</v>
      </c>
      <c r="EN21" s="21">
        <f t="shared" si="79"/>
        <v>15196796049.2941</v>
      </c>
      <c r="EO21" s="21">
        <f t="shared" si="80"/>
        <v>6630768312.7011538</v>
      </c>
      <c r="EP21" s="21">
        <f t="shared" si="81"/>
        <v>12944259619.430841</v>
      </c>
      <c r="EQ21" s="21">
        <f t="shared" si="82"/>
        <v>4531692368.2843246</v>
      </c>
      <c r="ER21" s="21">
        <f t="shared" si="83"/>
        <v>5262743229.0659742</v>
      </c>
      <c r="ES21" s="21">
        <f t="shared" si="84"/>
        <v>1842448624.2224276</v>
      </c>
    </row>
    <row r="22" spans="1:149" x14ac:dyDescent="0.25">
      <c r="A22" s="19" t="s">
        <v>1</v>
      </c>
      <c r="B22" s="19">
        <v>22500</v>
      </c>
      <c r="O22" s="3">
        <v>20</v>
      </c>
      <c r="P22" s="21">
        <f t="shared" si="122"/>
        <v>450507.28597265156</v>
      </c>
      <c r="Q22" s="21">
        <f t="shared" si="123"/>
        <v>419815.18888336571</v>
      </c>
      <c r="R22" s="13">
        <f t="shared" si="135"/>
        <v>692090.23845562572</v>
      </c>
      <c r="S22" s="13">
        <f t="shared" si="85"/>
        <v>512729.79515565053</v>
      </c>
      <c r="T22" s="13">
        <f t="shared" si="86"/>
        <v>399333.413998793</v>
      </c>
      <c r="U22" s="13">
        <f t="shared" si="87"/>
        <v>326968.67595814349</v>
      </c>
      <c r="V22" s="13">
        <f t="shared" si="88"/>
        <v>267724.1131097764</v>
      </c>
      <c r="W22" s="13">
        <f t="shared" si="89"/>
        <v>167297.36881503646</v>
      </c>
      <c r="X22" s="13">
        <f t="shared" si="90"/>
        <v>79783.147205127243</v>
      </c>
      <c r="Y22" s="13">
        <f t="shared" si="91"/>
        <v>38049.173460014405</v>
      </c>
      <c r="Z22" s="13">
        <f t="shared" si="92"/>
        <v>18146.618935826642</v>
      </c>
      <c r="AA22" s="13">
        <f t="shared" si="93"/>
        <v>8655.3530802324422</v>
      </c>
      <c r="AB22" s="13">
        <f t="shared" si="94"/>
        <v>4129.2998784138599</v>
      </c>
      <c r="AC22" s="13">
        <f t="shared" si="95"/>
        <v>4610.5251452977172</v>
      </c>
      <c r="AD22" s="13">
        <f t="shared" si="96"/>
        <v>47614756.292327471</v>
      </c>
      <c r="AE22" s="13">
        <f t="shared" si="97"/>
        <v>32971605.697970726</v>
      </c>
      <c r="AF22" s="13">
        <f t="shared" si="98"/>
        <v>18507599.367406137</v>
      </c>
      <c r="AG22" s="13">
        <f t="shared" si="99"/>
        <v>15446969.125464261</v>
      </c>
      <c r="AH22" s="21">
        <f t="shared" si="0"/>
        <v>0</v>
      </c>
      <c r="AI22" s="21">
        <f t="shared" si="1"/>
        <v>1538.1893854669515</v>
      </c>
      <c r="AJ22" s="21">
        <f t="shared" si="2"/>
        <v>19756.495218887656</v>
      </c>
      <c r="AK22" s="21">
        <f t="shared" si="3"/>
        <v>89417.328435711228</v>
      </c>
      <c r="AL22" s="21">
        <f t="shared" si="4"/>
        <v>154800.90034863181</v>
      </c>
      <c r="AM22" s="21">
        <f t="shared" si="5"/>
        <v>135546.08923887741</v>
      </c>
      <c r="AN22" s="21">
        <f t="shared" si="6"/>
        <v>74735.813366150251</v>
      </c>
      <c r="AO22" s="21">
        <f t="shared" si="7"/>
        <v>37458.409977345756</v>
      </c>
      <c r="AP22" s="21">
        <f t="shared" si="8"/>
        <v>18048.245159490318</v>
      </c>
      <c r="AQ22" s="21">
        <f t="shared" si="9"/>
        <v>8629.3870209917459</v>
      </c>
      <c r="AR22" s="21">
        <f t="shared" si="10"/>
        <v>4129.2998784138599</v>
      </c>
      <c r="AS22" s="21">
        <f t="shared" si="11"/>
        <v>4610.5251452977172</v>
      </c>
      <c r="AT22" s="21">
        <f t="shared" si="12"/>
        <v>0</v>
      </c>
      <c r="AU22" s="21">
        <f t="shared" si="13"/>
        <v>16485802.848985363</v>
      </c>
      <c r="AV22" s="21">
        <f t="shared" si="14"/>
        <v>18507599.367406137</v>
      </c>
      <c r="AW22" s="21">
        <f t="shared" si="15"/>
        <v>15446969.125464261</v>
      </c>
      <c r="AX22" s="13">
        <f t="shared" si="100"/>
        <v>0.2</v>
      </c>
      <c r="AY22" s="13">
        <f t="shared" si="124"/>
        <v>0.6</v>
      </c>
      <c r="AZ22" s="13">
        <f t="shared" si="125"/>
        <v>1.2658</v>
      </c>
      <c r="BA22" s="13">
        <f t="shared" si="126"/>
        <v>2.1566245227763701</v>
      </c>
      <c r="BB22" s="13">
        <f t="shared" si="127"/>
        <v>3.319013133509968</v>
      </c>
      <c r="BC22" s="13">
        <f t="shared" si="128"/>
        <v>4.8255777185178426</v>
      </c>
      <c r="BD22" s="13">
        <f t="shared" si="129"/>
        <v>6.7425363132999863</v>
      </c>
      <c r="BE22" s="13">
        <f t="shared" si="130"/>
        <v>9.1473206208413202</v>
      </c>
      <c r="BF22" s="13">
        <f t="shared" si="131"/>
        <v>11.101147090969633</v>
      </c>
      <c r="BG22" s="13">
        <f t="shared" si="132"/>
        <v>13.303247624390423</v>
      </c>
      <c r="BH22" s="13">
        <f t="shared" si="133"/>
        <v>15.185859311265666</v>
      </c>
      <c r="BI22" s="13">
        <f t="shared" si="134"/>
        <v>16.895371449907103</v>
      </c>
      <c r="BJ22" s="13">
        <f t="shared" si="16"/>
        <v>4.0000000000000001E-3</v>
      </c>
      <c r="BK22" s="13">
        <f t="shared" si="17"/>
        <v>0.01</v>
      </c>
      <c r="BL22" s="13">
        <f t="shared" si="18"/>
        <v>0.02</v>
      </c>
      <c r="BM22" s="13">
        <f t="shared" si="19"/>
        <v>0.03</v>
      </c>
      <c r="BN22" s="30">
        <f t="shared" si="102"/>
        <v>4695751.9773108959</v>
      </c>
      <c r="BO22" s="30">
        <f t="shared" si="103"/>
        <v>1353736.1432610676</v>
      </c>
      <c r="BP22" s="30">
        <f t="shared" si="104"/>
        <v>2688956.3180324659</v>
      </c>
      <c r="BQ22" s="30">
        <f t="shared" si="105"/>
        <v>998419.08960190415</v>
      </c>
      <c r="BR22" s="36">
        <f t="shared" si="20"/>
        <v>0.3</v>
      </c>
      <c r="BS22" s="36">
        <f t="shared" si="21"/>
        <v>0.25</v>
      </c>
      <c r="BT22" s="36">
        <f t="shared" si="22"/>
        <v>0.2</v>
      </c>
      <c r="BU22" s="36">
        <f t="shared" si="23"/>
        <v>0.2</v>
      </c>
      <c r="BV22" s="36">
        <f t="shared" si="24"/>
        <v>0.2</v>
      </c>
      <c r="BW22" s="36">
        <f t="shared" si="25"/>
        <v>0.2</v>
      </c>
      <c r="BX22" s="36">
        <f t="shared" si="26"/>
        <v>0.2</v>
      </c>
      <c r="BY22" s="36">
        <f t="shared" si="27"/>
        <v>0.2</v>
      </c>
      <c r="BZ22" s="36">
        <f t="shared" si="28"/>
        <v>0.2</v>
      </c>
      <c r="CA22" s="36">
        <f t="shared" si="29"/>
        <v>0.2</v>
      </c>
      <c r="CB22" s="36">
        <f t="shared" si="30"/>
        <v>0.2</v>
      </c>
      <c r="CC22" s="36">
        <f t="shared" si="31"/>
        <v>0.2</v>
      </c>
      <c r="CD22" s="35">
        <f t="shared" si="32"/>
        <v>0.36743686061877368</v>
      </c>
      <c r="CE22" s="35">
        <f t="shared" si="33"/>
        <v>0.36743686061877368</v>
      </c>
      <c r="CF22" s="35">
        <f t="shared" si="34"/>
        <v>0.36743686061877368</v>
      </c>
      <c r="CG22" s="35">
        <f t="shared" si="35"/>
        <v>0.36743686061877368</v>
      </c>
      <c r="CH22" s="28">
        <f t="shared" si="36"/>
        <v>0</v>
      </c>
      <c r="CI22" s="28">
        <f t="shared" si="37"/>
        <v>0</v>
      </c>
      <c r="CJ22" s="28">
        <f t="shared" si="38"/>
        <v>15763.044741592359</v>
      </c>
      <c r="CK22" s="28">
        <f t="shared" si="39"/>
        <v>23878.874943948533</v>
      </c>
      <c r="CL22" s="28">
        <f t="shared" si="40"/>
        <v>32514.444026003119</v>
      </c>
      <c r="CM22" s="28">
        <f t="shared" si="41"/>
        <v>31767.915229244521</v>
      </c>
      <c r="CN22" s="28">
        <f t="shared" si="42"/>
        <v>22668.673625543262</v>
      </c>
      <c r="CO22" s="28">
        <f t="shared" si="43"/>
        <v>15651.016837890691</v>
      </c>
      <c r="CP22" s="28">
        <f t="shared" si="44"/>
        <v>9600.9122457555568</v>
      </c>
      <c r="CQ22" s="28">
        <f t="shared" si="45"/>
        <v>5791.1770538516248</v>
      </c>
      <c r="CR22" s="28">
        <f t="shared" si="46"/>
        <v>3307.5945485154525</v>
      </c>
      <c r="CS22" s="28">
        <f t="shared" si="47"/>
        <v>4288.8713000249209</v>
      </c>
      <c r="CT22" s="44">
        <f t="shared" si="106"/>
        <v>0</v>
      </c>
      <c r="CU22" s="44">
        <f t="shared" si="107"/>
        <v>0</v>
      </c>
      <c r="CV22" s="44">
        <f t="shared" si="108"/>
        <v>3.9473392881768724E-2</v>
      </c>
      <c r="CW22" s="44">
        <f t="shared" si="109"/>
        <v>7.3031078203360855E-2</v>
      </c>
      <c r="CX22" s="44">
        <f t="shared" si="110"/>
        <v>0.12144757395338178</v>
      </c>
      <c r="CY22" s="44">
        <f t="shared" si="111"/>
        <v>0.1898889113095798</v>
      </c>
      <c r="CZ22" s="44">
        <f t="shared" si="112"/>
        <v>0.284128596321987</v>
      </c>
      <c r="DA22" s="44">
        <f t="shared" si="113"/>
        <v>0.41133657881788754</v>
      </c>
      <c r="DB22" s="44">
        <f t="shared" si="114"/>
        <v>0.5290744396908339</v>
      </c>
      <c r="DC22" s="44">
        <f t="shared" si="115"/>
        <v>0.66908617131724235</v>
      </c>
      <c r="DD22" s="44">
        <f t="shared" si="116"/>
        <v>0.80100613806376308</v>
      </c>
      <c r="DE22" s="44">
        <f t="shared" si="117"/>
        <v>0.93023487886171674</v>
      </c>
      <c r="DF22" s="21">
        <f t="shared" si="49"/>
        <v>0</v>
      </c>
      <c r="DG22" s="21">
        <f t="shared" si="50"/>
        <v>0</v>
      </c>
      <c r="DH22" s="21">
        <f t="shared" si="51"/>
        <v>0</v>
      </c>
      <c r="DI22" s="21">
        <f t="shared" si="52"/>
        <v>0</v>
      </c>
      <c r="DJ22" s="21">
        <f t="shared" si="118"/>
        <v>57731.176425114922</v>
      </c>
      <c r="DK22" s="21">
        <f t="shared" si="53"/>
        <v>63889.798143775748</v>
      </c>
      <c r="DL22" s="21">
        <f t="shared" si="54"/>
        <v>30468.675068322918</v>
      </c>
      <c r="DM22" s="21">
        <f t="shared" si="55"/>
        <v>14530.736670374572</v>
      </c>
      <c r="DN22" s="21">
        <f t="shared" si="56"/>
        <v>6930.0780341847121</v>
      </c>
      <c r="DO22" s="21">
        <f t="shared" si="57"/>
        <v>3305.4241383230678</v>
      </c>
      <c r="DP22" s="21">
        <f t="shared" si="58"/>
        <v>1576.9532872848592</v>
      </c>
      <c r="DQ22" s="21">
        <f t="shared" si="59"/>
        <v>1760.7301474988788</v>
      </c>
      <c r="DR22" s="21">
        <f t="shared" si="60"/>
        <v>0</v>
      </c>
      <c r="DS22" s="21">
        <f t="shared" si="61"/>
        <v>5257927.2591719301</v>
      </c>
      <c r="DT22" s="21">
        <f t="shared" si="62"/>
        <v>5377944.342795263</v>
      </c>
      <c r="DU22" s="21">
        <f t="shared" si="63"/>
        <v>4488585.3952470981</v>
      </c>
      <c r="DV22" s="13">
        <f t="shared" si="64"/>
        <v>0</v>
      </c>
      <c r="DW22" s="13">
        <f t="shared" si="65"/>
        <v>0</v>
      </c>
      <c r="DX22" s="13">
        <f t="shared" si="66"/>
        <v>0</v>
      </c>
      <c r="DY22" s="13">
        <f t="shared" si="67"/>
        <v>0</v>
      </c>
      <c r="DZ22" s="13">
        <f t="shared" si="68"/>
        <v>191610.53276793746</v>
      </c>
      <c r="EA22" s="13">
        <f t="shared" si="119"/>
        <v>308305.18636320689</v>
      </c>
      <c r="EB22" s="13">
        <f t="shared" si="69"/>
        <v>205436.14806630521</v>
      </c>
      <c r="EC22" s="13">
        <f t="shared" si="70"/>
        <v>132917.30718093246</v>
      </c>
      <c r="ED22" s="13">
        <f t="shared" si="71"/>
        <v>76931.815609382174</v>
      </c>
      <c r="EE22" s="13">
        <f t="shared" si="72"/>
        <v>43972.87581574911</v>
      </c>
      <c r="EF22" s="13">
        <f t="shared" si="73"/>
        <v>23947.39076114578</v>
      </c>
      <c r="EG22" s="13">
        <f t="shared" si="74"/>
        <v>29748.189865043278</v>
      </c>
      <c r="EH22" s="13">
        <f t="shared" si="75"/>
        <v>0</v>
      </c>
      <c r="EI22" s="13">
        <f t="shared" si="76"/>
        <v>52579.272591719302</v>
      </c>
      <c r="EJ22" s="13">
        <f t="shared" si="77"/>
        <v>107558.88685590526</v>
      </c>
      <c r="EK22" s="13">
        <f t="shared" si="78"/>
        <v>134657.56185741295</v>
      </c>
      <c r="EL22" s="21">
        <f t="shared" si="120"/>
        <v>1012869.4464297025</v>
      </c>
      <c r="EM22" s="21">
        <f t="shared" si="121"/>
        <v>294795.7213050375</v>
      </c>
      <c r="EN22" s="21">
        <f t="shared" si="79"/>
        <v>15193041696.445538</v>
      </c>
      <c r="EO22" s="21">
        <f t="shared" si="80"/>
        <v>6632903729.3633442</v>
      </c>
      <c r="EP22" s="21">
        <f t="shared" si="81"/>
        <v>12940505266.582279</v>
      </c>
      <c r="EQ22" s="21">
        <f t="shared" si="82"/>
        <v>4533827784.946516</v>
      </c>
      <c r="ER22" s="21">
        <f t="shared" si="83"/>
        <v>5004624250.8163929</v>
      </c>
      <c r="ES22" s="21">
        <f t="shared" si="84"/>
        <v>1753417197.7166696</v>
      </c>
    </row>
    <row r="23" spans="1:149" x14ac:dyDescent="0.25">
      <c r="A23" s="19" t="s">
        <v>2</v>
      </c>
      <c r="B23" s="19">
        <v>5000</v>
      </c>
      <c r="O23" s="3">
        <v>21</v>
      </c>
      <c r="P23" s="21">
        <f t="shared" si="122"/>
        <v>450507.28597265156</v>
      </c>
      <c r="Q23" s="21">
        <f t="shared" si="123"/>
        <v>419815.18888336571</v>
      </c>
      <c r="R23" s="13">
        <f t="shared" si="135"/>
        <v>692074.85963217402</v>
      </c>
      <c r="S23" s="13">
        <f t="shared" si="85"/>
        <v>512713.05900388246</v>
      </c>
      <c r="T23" s="13">
        <f t="shared" si="86"/>
        <v>399314.36597126164</v>
      </c>
      <c r="U23" s="13">
        <f t="shared" si="87"/>
        <v>326946.54677243327</v>
      </c>
      <c r="V23" s="13">
        <f t="shared" si="88"/>
        <v>267699.31030012143</v>
      </c>
      <c r="W23" s="13">
        <f t="shared" si="89"/>
        <v>167277.25577510454</v>
      </c>
      <c r="X23" s="13">
        <f t="shared" si="90"/>
        <v>79771.327657699992</v>
      </c>
      <c r="Y23" s="13">
        <f t="shared" si="91"/>
        <v>38042.484602965807</v>
      </c>
      <c r="Z23" s="13">
        <f t="shared" si="92"/>
        <v>18142.742499071923</v>
      </c>
      <c r="AA23" s="13">
        <f t="shared" si="93"/>
        <v>8652.7355167772585</v>
      </c>
      <c r="AB23" s="13">
        <f t="shared" si="94"/>
        <v>4127.0763039893573</v>
      </c>
      <c r="AC23" s="13">
        <f t="shared" si="95"/>
        <v>4603.2849210240202</v>
      </c>
      <c r="AD23" s="13">
        <f t="shared" si="96"/>
        <v>47615457.382649079</v>
      </c>
      <c r="AE23" s="13">
        <f t="shared" si="97"/>
        <v>32973554.411465745</v>
      </c>
      <c r="AF23" s="13">
        <f t="shared" si="98"/>
        <v>18509836.66923029</v>
      </c>
      <c r="AG23" s="13">
        <f t="shared" si="99"/>
        <v>15452508.625985425</v>
      </c>
      <c r="AH23" s="21">
        <f t="shared" si="0"/>
        <v>0</v>
      </c>
      <c r="AI23" s="21">
        <f t="shared" si="1"/>
        <v>1538.1391770116475</v>
      </c>
      <c r="AJ23" s="21">
        <f t="shared" si="2"/>
        <v>19755.552842788737</v>
      </c>
      <c r="AK23" s="21">
        <f t="shared" si="3"/>
        <v>89411.276685766468</v>
      </c>
      <c r="AL23" s="21">
        <f t="shared" si="4"/>
        <v>154786.55910300711</v>
      </c>
      <c r="AM23" s="21">
        <f t="shared" si="5"/>
        <v>135529.79344220838</v>
      </c>
      <c r="AN23" s="21">
        <f t="shared" si="6"/>
        <v>74724.741560618131</v>
      </c>
      <c r="AO23" s="21">
        <f t="shared" si="7"/>
        <v>37451.824973603965</v>
      </c>
      <c r="AP23" s="21">
        <f t="shared" si="8"/>
        <v>18044.389737103269</v>
      </c>
      <c r="AQ23" s="21">
        <f t="shared" si="9"/>
        <v>8626.7773102269275</v>
      </c>
      <c r="AR23" s="21">
        <f t="shared" si="10"/>
        <v>4127.0763039893573</v>
      </c>
      <c r="AS23" s="21">
        <f t="shared" si="11"/>
        <v>4603.2849210240202</v>
      </c>
      <c r="AT23" s="21">
        <f t="shared" si="12"/>
        <v>0</v>
      </c>
      <c r="AU23" s="21">
        <f t="shared" si="13"/>
        <v>16486777.205732873</v>
      </c>
      <c r="AV23" s="21">
        <f t="shared" si="14"/>
        <v>18509836.66923029</v>
      </c>
      <c r="AW23" s="21">
        <f t="shared" si="15"/>
        <v>15452508.625985425</v>
      </c>
      <c r="AX23" s="13">
        <f t="shared" si="100"/>
        <v>0.2</v>
      </c>
      <c r="AY23" s="13">
        <f t="shared" si="124"/>
        <v>0.6</v>
      </c>
      <c r="AZ23" s="13">
        <f t="shared" si="125"/>
        <v>1.2658</v>
      </c>
      <c r="BA23" s="13">
        <f t="shared" si="126"/>
        <v>2.1566313750172381</v>
      </c>
      <c r="BB23" s="13">
        <f t="shared" si="127"/>
        <v>3.3190341020444873</v>
      </c>
      <c r="BC23" s="13">
        <f t="shared" si="128"/>
        <v>4.8256237749238622</v>
      </c>
      <c r="BD23" s="13">
        <f t="shared" si="129"/>
        <v>6.7426232850595369</v>
      </c>
      <c r="BE23" s="13">
        <f t="shared" si="130"/>
        <v>9.1474703237552202</v>
      </c>
      <c r="BF23" s="13">
        <f t="shared" si="131"/>
        <v>11.101388423427581</v>
      </c>
      <c r="BG23" s="13">
        <f t="shared" si="132"/>
        <v>13.303623144861426</v>
      </c>
      <c r="BH23" s="13">
        <f t="shared" si="133"/>
        <v>15.186427784351457</v>
      </c>
      <c r="BI23" s="13">
        <f t="shared" si="134"/>
        <v>16.896211459587985</v>
      </c>
      <c r="BJ23" s="13">
        <f t="shared" si="16"/>
        <v>4.0000000000000001E-3</v>
      </c>
      <c r="BK23" s="13">
        <f t="shared" si="17"/>
        <v>0.01</v>
      </c>
      <c r="BL23" s="13">
        <f t="shared" si="18"/>
        <v>0.02</v>
      </c>
      <c r="BM23" s="13">
        <f t="shared" si="19"/>
        <v>0.03</v>
      </c>
      <c r="BN23" s="30">
        <f t="shared" si="102"/>
        <v>4695154.8509640656</v>
      </c>
      <c r="BO23" s="30">
        <f t="shared" si="103"/>
        <v>1353969.3658094222</v>
      </c>
      <c r="BP23" s="30">
        <f t="shared" si="104"/>
        <v>2688483.3237655144</v>
      </c>
      <c r="BQ23" s="30">
        <f t="shared" si="105"/>
        <v>998639.76422149735</v>
      </c>
      <c r="BR23" s="36">
        <f t="shared" si="20"/>
        <v>0.3</v>
      </c>
      <c r="BS23" s="36">
        <f t="shared" si="21"/>
        <v>0.25</v>
      </c>
      <c r="BT23" s="36">
        <f t="shared" si="22"/>
        <v>0.2</v>
      </c>
      <c r="BU23" s="36">
        <f t="shared" si="23"/>
        <v>0.2</v>
      </c>
      <c r="BV23" s="36">
        <f t="shared" si="24"/>
        <v>0.2</v>
      </c>
      <c r="BW23" s="36">
        <f t="shared" si="25"/>
        <v>0.2</v>
      </c>
      <c r="BX23" s="36">
        <f t="shared" si="26"/>
        <v>0.2</v>
      </c>
      <c r="BY23" s="36">
        <f t="shared" si="27"/>
        <v>0.2</v>
      </c>
      <c r="BZ23" s="36">
        <f t="shared" si="28"/>
        <v>0.2</v>
      </c>
      <c r="CA23" s="36">
        <f t="shared" si="29"/>
        <v>0.2</v>
      </c>
      <c r="CB23" s="36">
        <f t="shared" si="30"/>
        <v>0.2</v>
      </c>
      <c r="CC23" s="36">
        <f t="shared" si="31"/>
        <v>0.2</v>
      </c>
      <c r="CD23" s="35">
        <f t="shared" si="32"/>
        <v>0.36740886440270348</v>
      </c>
      <c r="CE23" s="35">
        <f t="shared" si="33"/>
        <v>0.36740886440270348</v>
      </c>
      <c r="CF23" s="35">
        <f t="shared" si="34"/>
        <v>0.36740886440270348</v>
      </c>
      <c r="CG23" s="35">
        <f t="shared" si="35"/>
        <v>0.36740886440270348</v>
      </c>
      <c r="CH23" s="28">
        <f t="shared" si="36"/>
        <v>0</v>
      </c>
      <c r="CI23" s="28">
        <f t="shared" si="37"/>
        <v>0</v>
      </c>
      <c r="CJ23" s="28">
        <f t="shared" si="38"/>
        <v>15765.095161318928</v>
      </c>
      <c r="CK23" s="28">
        <f t="shared" si="39"/>
        <v>23881.503860425932</v>
      </c>
      <c r="CL23" s="28">
        <f t="shared" si="40"/>
        <v>32517.211852049972</v>
      </c>
      <c r="CM23" s="28">
        <f t="shared" si="41"/>
        <v>31769.743187489919</v>
      </c>
      <c r="CN23" s="28">
        <f t="shared" si="42"/>
        <v>22669.344922695276</v>
      </c>
      <c r="CO23" s="28">
        <f t="shared" si="43"/>
        <v>15651.047503880529</v>
      </c>
      <c r="CP23" s="28">
        <f t="shared" si="44"/>
        <v>9600.5678622681771</v>
      </c>
      <c r="CQ23" s="28">
        <f t="shared" si="45"/>
        <v>5790.454955339882</v>
      </c>
      <c r="CR23" s="28">
        <f t="shared" si="46"/>
        <v>3306.4011780555256</v>
      </c>
      <c r="CS23" s="28">
        <f t="shared" si="47"/>
        <v>4282.8974933823365</v>
      </c>
      <c r="CT23" s="44">
        <f t="shared" si="106"/>
        <v>0</v>
      </c>
      <c r="CU23" s="44">
        <f t="shared" si="107"/>
        <v>0</v>
      </c>
      <c r="CV23" s="44">
        <f t="shared" si="108"/>
        <v>3.9480410685884343E-2</v>
      </c>
      <c r="CW23" s="44">
        <f t="shared" si="109"/>
        <v>7.3044062083482811E-2</v>
      </c>
      <c r="CX23" s="44">
        <f t="shared" si="110"/>
        <v>0.12146916559327131</v>
      </c>
      <c r="CY23" s="44">
        <f t="shared" si="111"/>
        <v>0.18992267083937978</v>
      </c>
      <c r="CZ23" s="44">
        <f t="shared" si="112"/>
        <v>0.28417911031855692</v>
      </c>
      <c r="DA23" s="44">
        <f t="shared" si="113"/>
        <v>0.41140970857251441</v>
      </c>
      <c r="DB23" s="44">
        <f t="shared" si="114"/>
        <v>0.52916850155147632</v>
      </c>
      <c r="DC23" s="44">
        <f t="shared" si="115"/>
        <v>0.66920512525922637</v>
      </c>
      <c r="DD23" s="44">
        <f t="shared" si="116"/>
        <v>0.80114854548714254</v>
      </c>
      <c r="DE23" s="44">
        <f t="shared" si="117"/>
        <v>0.93040026130504816</v>
      </c>
      <c r="DF23" s="21">
        <f t="shared" si="49"/>
        <v>0</v>
      </c>
      <c r="DG23" s="21">
        <f t="shared" si="50"/>
        <v>0</v>
      </c>
      <c r="DH23" s="21">
        <f t="shared" si="51"/>
        <v>0</v>
      </c>
      <c r="DI23" s="21">
        <f t="shared" si="52"/>
        <v>0</v>
      </c>
      <c r="DJ23" s="21">
        <f t="shared" si="118"/>
        <v>57725.828026110445</v>
      </c>
      <c r="DK23" s="21">
        <f t="shared" si="53"/>
        <v>63882.117102104799</v>
      </c>
      <c r="DL23" s="21">
        <f t="shared" si="54"/>
        <v>30464.161258544398</v>
      </c>
      <c r="DM23" s="21">
        <f t="shared" si="55"/>
        <v>14528.182238528605</v>
      </c>
      <c r="DN23" s="21">
        <f t="shared" si="56"/>
        <v>6928.5976477116301</v>
      </c>
      <c r="DO23" s="21">
        <f t="shared" si="57"/>
        <v>3304.4245075341037</v>
      </c>
      <c r="DP23" s="21">
        <f t="shared" si="58"/>
        <v>1576.1041183938876</v>
      </c>
      <c r="DQ23" s="21">
        <f t="shared" si="59"/>
        <v>1757.9651520262148</v>
      </c>
      <c r="DR23" s="21">
        <f t="shared" si="60"/>
        <v>0</v>
      </c>
      <c r="DS23" s="21">
        <f t="shared" si="61"/>
        <v>5258304.5796813136</v>
      </c>
      <c r="DT23" s="21">
        <f t="shared" si="62"/>
        <v>5378659.9712530337</v>
      </c>
      <c r="DU23" s="21">
        <f t="shared" si="63"/>
        <v>4490249.7567789834</v>
      </c>
      <c r="DV23" s="13">
        <f t="shared" si="64"/>
        <v>0</v>
      </c>
      <c r="DW23" s="13">
        <f t="shared" si="65"/>
        <v>0</v>
      </c>
      <c r="DX23" s="13">
        <f t="shared" si="66"/>
        <v>0</v>
      </c>
      <c r="DY23" s="13">
        <f t="shared" si="67"/>
        <v>0</v>
      </c>
      <c r="DZ23" s="13">
        <f t="shared" si="68"/>
        <v>191593.99178741599</v>
      </c>
      <c r="EA23" s="13">
        <f t="shared" si="119"/>
        <v>308271.06308038719</v>
      </c>
      <c r="EB23" s="13">
        <f t="shared" si="69"/>
        <v>205408.3630616701</v>
      </c>
      <c r="EC23" s="13">
        <f t="shared" si="70"/>
        <v>132896.11588504809</v>
      </c>
      <c r="ED23" s="13">
        <f t="shared" si="71"/>
        <v>76917.053716893453</v>
      </c>
      <c r="EE23" s="13">
        <f t="shared" si="72"/>
        <v>43960.818358878023</v>
      </c>
      <c r="EF23" s="13">
        <f t="shared" si="73"/>
        <v>23935.391374607691</v>
      </c>
      <c r="EG23" s="13">
        <f t="shared" si="74"/>
        <v>29702.950947221663</v>
      </c>
      <c r="EH23" s="13">
        <f t="shared" si="75"/>
        <v>0</v>
      </c>
      <c r="EI23" s="13">
        <f t="shared" si="76"/>
        <v>52583.045796813138</v>
      </c>
      <c r="EJ23" s="13">
        <f t="shared" si="77"/>
        <v>107573.19942506068</v>
      </c>
      <c r="EK23" s="13">
        <f t="shared" si="78"/>
        <v>134707.4927033695</v>
      </c>
      <c r="EL23" s="21">
        <f t="shared" si="120"/>
        <v>1012685.7482121222</v>
      </c>
      <c r="EM23" s="21">
        <f t="shared" si="121"/>
        <v>294863.73792524333</v>
      </c>
      <c r="EN23" s="21">
        <f t="shared" si="79"/>
        <v>15190286223.181833</v>
      </c>
      <c r="EO23" s="21">
        <f t="shared" si="80"/>
        <v>6634434103.317975</v>
      </c>
      <c r="EP23" s="21">
        <f t="shared" si="81"/>
        <v>12937749793.318575</v>
      </c>
      <c r="EQ23" s="21">
        <f t="shared" si="82"/>
        <v>4535358158.9011459</v>
      </c>
      <c r="ER23" s="21">
        <f t="shared" si="83"/>
        <v>4759532163.9819813</v>
      </c>
      <c r="ES23" s="21">
        <f t="shared" si="84"/>
        <v>1668465025.0088952</v>
      </c>
    </row>
    <row r="24" spans="1:149" x14ac:dyDescent="0.25">
      <c r="A24" s="19" t="s">
        <v>3</v>
      </c>
      <c r="B24" s="19">
        <v>5000</v>
      </c>
      <c r="O24" s="3">
        <v>22</v>
      </c>
      <c r="P24" s="21">
        <f t="shared" si="122"/>
        <v>450507.28597265156</v>
      </c>
      <c r="Q24" s="21">
        <f t="shared" si="123"/>
        <v>419815.18888336571</v>
      </c>
      <c r="R24" s="13">
        <f t="shared" si="135"/>
        <v>692064.21774027345</v>
      </c>
      <c r="S24" s="13">
        <f t="shared" si="85"/>
        <v>512701.66609125683</v>
      </c>
      <c r="T24" s="13">
        <f t="shared" si="86"/>
        <v>399301.33184315905</v>
      </c>
      <c r="U24" s="13">
        <f t="shared" si="87"/>
        <v>326930.95156650787</v>
      </c>
      <c r="V24" s="13">
        <f t="shared" si="88"/>
        <v>267681.19245523989</v>
      </c>
      <c r="W24" s="13">
        <f t="shared" si="89"/>
        <v>167261.75868040355</v>
      </c>
      <c r="X24" s="13">
        <f t="shared" si="90"/>
        <v>79761.737286315401</v>
      </c>
      <c r="Y24" s="13">
        <f t="shared" si="91"/>
        <v>38036.848764235867</v>
      </c>
      <c r="Z24" s="13">
        <f t="shared" si="92"/>
        <v>18139.553094414463</v>
      </c>
      <c r="AA24" s="13">
        <f t="shared" si="93"/>
        <v>8650.8871403879857</v>
      </c>
      <c r="AB24" s="13">
        <f t="shared" si="94"/>
        <v>4125.8281880534805</v>
      </c>
      <c r="AC24" s="13">
        <f t="shared" si="95"/>
        <v>4598.5376159309599</v>
      </c>
      <c r="AD24" s="13">
        <f t="shared" si="96"/>
        <v>47615959.183222488</v>
      </c>
      <c r="AE24" s="13">
        <f t="shared" si="97"/>
        <v>32974963.082724866</v>
      </c>
      <c r="AF24" s="13">
        <f t="shared" si="98"/>
        <v>18511448.89526812</v>
      </c>
      <c r="AG24" s="13">
        <f t="shared" si="99"/>
        <v>15456480.516287714</v>
      </c>
      <c r="AH24" s="21">
        <f t="shared" si="0"/>
        <v>0</v>
      </c>
      <c r="AI24" s="21">
        <f t="shared" si="1"/>
        <v>1538.1049982737704</v>
      </c>
      <c r="AJ24" s="21">
        <f t="shared" si="2"/>
        <v>19754.907996451027</v>
      </c>
      <c r="AK24" s="21">
        <f t="shared" si="3"/>
        <v>89407.011807346033</v>
      </c>
      <c r="AL24" s="21">
        <f t="shared" si="4"/>
        <v>154776.08317438242</v>
      </c>
      <c r="AM24" s="21">
        <f t="shared" si="5"/>
        <v>135517.23753295431</v>
      </c>
      <c r="AN24" s="21">
        <f t="shared" si="6"/>
        <v>74715.75790641272</v>
      </c>
      <c r="AO24" s="21">
        <f t="shared" si="7"/>
        <v>37446.276638685886</v>
      </c>
      <c r="AP24" s="21">
        <f t="shared" si="8"/>
        <v>18041.21762237632</v>
      </c>
      <c r="AQ24" s="21">
        <f t="shared" si="9"/>
        <v>8624.934478966823</v>
      </c>
      <c r="AR24" s="21">
        <f t="shared" si="10"/>
        <v>4125.8281880534805</v>
      </c>
      <c r="AS24" s="21">
        <f t="shared" si="11"/>
        <v>4598.5376159309599</v>
      </c>
      <c r="AT24" s="21">
        <f t="shared" si="12"/>
        <v>0</v>
      </c>
      <c r="AU24" s="21">
        <f t="shared" si="13"/>
        <v>16487481.541362433</v>
      </c>
      <c r="AV24" s="21">
        <f t="shared" si="14"/>
        <v>18511448.89526812</v>
      </c>
      <c r="AW24" s="21">
        <f t="shared" si="15"/>
        <v>15456480.516287714</v>
      </c>
      <c r="AX24" s="13">
        <f t="shared" si="100"/>
        <v>0.2</v>
      </c>
      <c r="AY24" s="13">
        <f t="shared" si="124"/>
        <v>0.6</v>
      </c>
      <c r="AZ24" s="13">
        <f t="shared" si="125"/>
        <v>1.2658</v>
      </c>
      <c r="BA24" s="13">
        <f t="shared" si="126"/>
        <v>2.156636287480119</v>
      </c>
      <c r="BB24" s="13">
        <f t="shared" si="127"/>
        <v>3.3190491341298323</v>
      </c>
      <c r="BC24" s="13">
        <f t="shared" si="128"/>
        <v>4.8256568347767201</v>
      </c>
      <c r="BD24" s="13">
        <f t="shared" si="129"/>
        <v>6.7426858836351578</v>
      </c>
      <c r="BE24" s="13">
        <f t="shared" si="130"/>
        <v>9.1475785113933288</v>
      </c>
      <c r="BF24" s="13">
        <f t="shared" si="131"/>
        <v>11.1015637217556</v>
      </c>
      <c r="BG24" s="13">
        <f t="shared" si="132"/>
        <v>13.303897398970598</v>
      </c>
      <c r="BH24" s="13">
        <f t="shared" si="133"/>
        <v>15.186844938702155</v>
      </c>
      <c r="BI24" s="13">
        <f t="shared" si="134"/>
        <v>16.896829775271957</v>
      </c>
      <c r="BJ24" s="13">
        <f t="shared" si="16"/>
        <v>4.0000000000000001E-3</v>
      </c>
      <c r="BK24" s="13">
        <f t="shared" si="17"/>
        <v>0.01</v>
      </c>
      <c r="BL24" s="13">
        <f t="shared" si="18"/>
        <v>0.02</v>
      </c>
      <c r="BM24" s="13">
        <f t="shared" si="19"/>
        <v>0.03</v>
      </c>
      <c r="BN24" s="30">
        <f t="shared" si="102"/>
        <v>4694715.8418992544</v>
      </c>
      <c r="BO24" s="30">
        <f t="shared" si="103"/>
        <v>1354136.8609541324</v>
      </c>
      <c r="BP24" s="30">
        <f t="shared" si="104"/>
        <v>2688133.7722482183</v>
      </c>
      <c r="BQ24" s="30">
        <f t="shared" si="105"/>
        <v>998798.20880761812</v>
      </c>
      <c r="BR24" s="36">
        <f t="shared" si="20"/>
        <v>0.3</v>
      </c>
      <c r="BS24" s="36">
        <f t="shared" si="21"/>
        <v>0.25</v>
      </c>
      <c r="BT24" s="36">
        <f t="shared" si="22"/>
        <v>0.2</v>
      </c>
      <c r="BU24" s="36">
        <f t="shared" si="23"/>
        <v>0.2</v>
      </c>
      <c r="BV24" s="36">
        <f t="shared" si="24"/>
        <v>0.2</v>
      </c>
      <c r="BW24" s="36">
        <f t="shared" si="25"/>
        <v>0.2</v>
      </c>
      <c r="BX24" s="36">
        <f t="shared" si="26"/>
        <v>0.2</v>
      </c>
      <c r="BY24" s="36">
        <f t="shared" si="27"/>
        <v>0.2</v>
      </c>
      <c r="BZ24" s="36">
        <f t="shared" si="28"/>
        <v>0.2</v>
      </c>
      <c r="CA24" s="36">
        <f t="shared" si="29"/>
        <v>0.2</v>
      </c>
      <c r="CB24" s="36">
        <f t="shared" si="30"/>
        <v>0.2</v>
      </c>
      <c r="CC24" s="36">
        <f t="shared" si="31"/>
        <v>0.2</v>
      </c>
      <c r="CD24" s="35">
        <f t="shared" si="32"/>
        <v>0.36738841552057189</v>
      </c>
      <c r="CE24" s="35">
        <f t="shared" si="33"/>
        <v>0.36738841552057189</v>
      </c>
      <c r="CF24" s="35">
        <f t="shared" si="34"/>
        <v>0.36738841552057189</v>
      </c>
      <c r="CG24" s="35">
        <f t="shared" si="35"/>
        <v>0.36738841552057189</v>
      </c>
      <c r="CH24" s="28">
        <f t="shared" si="36"/>
        <v>0</v>
      </c>
      <c r="CI24" s="28">
        <f t="shared" si="37"/>
        <v>0</v>
      </c>
      <c r="CJ24" s="28">
        <f t="shared" si="38"/>
        <v>15766.595586533589</v>
      </c>
      <c r="CK24" s="28">
        <f t="shared" si="39"/>
        <v>23883.417095181128</v>
      </c>
      <c r="CL24" s="28">
        <f t="shared" si="40"/>
        <v>32519.167139109486</v>
      </c>
      <c r="CM24" s="28">
        <f t="shared" si="41"/>
        <v>31770.860348593789</v>
      </c>
      <c r="CN24" s="28">
        <f t="shared" si="42"/>
        <v>22669.516771350347</v>
      </c>
      <c r="CO24" s="28">
        <f t="shared" si="43"/>
        <v>15650.729074970379</v>
      </c>
      <c r="CP24" s="28">
        <f t="shared" si="44"/>
        <v>9600.1070521015263</v>
      </c>
      <c r="CQ24" s="28">
        <f t="shared" si="45"/>
        <v>5789.9579862878991</v>
      </c>
      <c r="CR24" s="28">
        <f t="shared" si="46"/>
        <v>3305.8237459243492</v>
      </c>
      <c r="CS24" s="28">
        <f t="shared" si="47"/>
        <v>4279.0274719578001</v>
      </c>
      <c r="CT24" s="44">
        <f t="shared" si="106"/>
        <v>0</v>
      </c>
      <c r="CU24" s="44">
        <f t="shared" si="107"/>
        <v>0</v>
      </c>
      <c r="CV24" s="44">
        <f t="shared" si="108"/>
        <v>3.9485457045073231E-2</v>
      </c>
      <c r="CW24" s="44">
        <f t="shared" si="109"/>
        <v>7.3053398525720514E-2</v>
      </c>
      <c r="CX24" s="44">
        <f t="shared" si="110"/>
        <v>0.12148469169923903</v>
      </c>
      <c r="CY24" s="44">
        <f t="shared" si="111"/>
        <v>0.18994694662573863</v>
      </c>
      <c r="CZ24" s="44">
        <f t="shared" si="112"/>
        <v>0.28421543389877646</v>
      </c>
      <c r="DA24" s="44">
        <f t="shared" si="113"/>
        <v>0.41146229468109807</v>
      </c>
      <c r="DB24" s="44">
        <f t="shared" si="114"/>
        <v>0.52923613950872883</v>
      </c>
      <c r="DC24" s="44">
        <f t="shared" si="115"/>
        <v>0.66929066260228931</v>
      </c>
      <c r="DD24" s="44">
        <f t="shared" si="116"/>
        <v>0.80125094774826278</v>
      </c>
      <c r="DE24" s="44">
        <f t="shared" si="117"/>
        <v>0.93051918443240222</v>
      </c>
      <c r="DF24" s="21">
        <f t="shared" si="49"/>
        <v>0</v>
      </c>
      <c r="DG24" s="21">
        <f t="shared" si="50"/>
        <v>0</v>
      </c>
      <c r="DH24" s="21">
        <f t="shared" si="51"/>
        <v>0</v>
      </c>
      <c r="DI24" s="21">
        <f t="shared" si="52"/>
        <v>0</v>
      </c>
      <c r="DJ24" s="21">
        <f t="shared" si="118"/>
        <v>57721.921151652452</v>
      </c>
      <c r="DK24" s="21">
        <f t="shared" si="53"/>
        <v>63876.198860477482</v>
      </c>
      <c r="DL24" s="21">
        <f t="shared" si="54"/>
        <v>30460.498756879097</v>
      </c>
      <c r="DM24" s="21">
        <f t="shared" si="55"/>
        <v>14526.029947662484</v>
      </c>
      <c r="DN24" s="21">
        <f t="shared" si="56"/>
        <v>6927.3796344146649</v>
      </c>
      <c r="DO24" s="21">
        <f t="shared" si="57"/>
        <v>3303.7186243798087</v>
      </c>
      <c r="DP24" s="21">
        <f t="shared" si="58"/>
        <v>1575.627470878341</v>
      </c>
      <c r="DQ24" s="21">
        <f t="shared" si="59"/>
        <v>1756.1521864890349</v>
      </c>
      <c r="DR24" s="21">
        <f t="shared" si="60"/>
        <v>0</v>
      </c>
      <c r="DS24" s="21">
        <f t="shared" si="61"/>
        <v>5258577.842054734</v>
      </c>
      <c r="DT24" s="21">
        <f t="shared" si="62"/>
        <v>5379176.3144348161</v>
      </c>
      <c r="DU24" s="21">
        <f t="shared" si="63"/>
        <v>4491443.8825472528</v>
      </c>
      <c r="DV24" s="13">
        <f t="shared" si="64"/>
        <v>0</v>
      </c>
      <c r="DW24" s="13">
        <f t="shared" si="65"/>
        <v>0</v>
      </c>
      <c r="DX24" s="13">
        <f t="shared" si="66"/>
        <v>0</v>
      </c>
      <c r="DY24" s="13">
        <f t="shared" si="67"/>
        <v>0</v>
      </c>
      <c r="DZ24" s="13">
        <f t="shared" si="68"/>
        <v>191581.89241870251</v>
      </c>
      <c r="EA24" s="13">
        <f t="shared" si="119"/>
        <v>308244.61561062012</v>
      </c>
      <c r="EB24" s="13">
        <f t="shared" si="69"/>
        <v>205385.57497649494</v>
      </c>
      <c r="EC24" s="13">
        <f t="shared" si="70"/>
        <v>132877.99940509329</v>
      </c>
      <c r="ED24" s="13">
        <f t="shared" si="71"/>
        <v>76904.746436246409</v>
      </c>
      <c r="EE24" s="13">
        <f t="shared" si="72"/>
        <v>43952.33361381726</v>
      </c>
      <c r="EF24" s="13">
        <f t="shared" si="73"/>
        <v>23928.810081388809</v>
      </c>
      <c r="EG24" s="13">
        <f t="shared" si="74"/>
        <v>29673.404554576875</v>
      </c>
      <c r="EH24" s="13">
        <f t="shared" si="75"/>
        <v>0</v>
      </c>
      <c r="EI24" s="13">
        <f t="shared" si="76"/>
        <v>52585.778420547344</v>
      </c>
      <c r="EJ24" s="13">
        <f t="shared" si="77"/>
        <v>107583.52628869633</v>
      </c>
      <c r="EK24" s="13">
        <f t="shared" si="78"/>
        <v>134743.31647641759</v>
      </c>
      <c r="EL24" s="21">
        <f t="shared" si="120"/>
        <v>1012549.3770969402</v>
      </c>
      <c r="EM24" s="21">
        <f t="shared" si="121"/>
        <v>294912.62118566129</v>
      </c>
      <c r="EN24" s="21">
        <f t="shared" si="79"/>
        <v>15188240656.454103</v>
      </c>
      <c r="EO24" s="21">
        <f t="shared" si="80"/>
        <v>6635533976.6773787</v>
      </c>
      <c r="EP24" s="21">
        <f t="shared" si="81"/>
        <v>12935704226.590845</v>
      </c>
      <c r="EQ24" s="21">
        <f t="shared" si="82"/>
        <v>4536458032.2605495</v>
      </c>
      <c r="ER24" s="21">
        <f t="shared" si="83"/>
        <v>4526691220.2208586</v>
      </c>
      <c r="ES24" s="21">
        <f t="shared" si="84"/>
        <v>1587477912.7464776</v>
      </c>
    </row>
    <row r="25" spans="1:149" x14ac:dyDescent="0.25">
      <c r="A25" s="17" t="s">
        <v>16</v>
      </c>
      <c r="B25" s="18"/>
      <c r="H25" s="33"/>
      <c r="O25" s="3">
        <v>23</v>
      </c>
      <c r="P25" s="21">
        <f t="shared" si="122"/>
        <v>450507.28597265156</v>
      </c>
      <c r="Q25" s="21">
        <f t="shared" si="123"/>
        <v>419815.18888336571</v>
      </c>
      <c r="R25" s="13">
        <f t="shared" si="135"/>
        <v>692056.64216163033</v>
      </c>
      <c r="S25" s="13">
        <f t="shared" si="85"/>
        <v>512693.78238383436</v>
      </c>
      <c r="T25" s="13">
        <f t="shared" si="86"/>
        <v>399292.45903388475</v>
      </c>
      <c r="U25" s="13">
        <f t="shared" si="87"/>
        <v>326920.28012499074</v>
      </c>
      <c r="V25" s="13">
        <f t="shared" si="88"/>
        <v>267668.42418054817</v>
      </c>
      <c r="W25" s="13">
        <f t="shared" si="89"/>
        <v>167250.43843234246</v>
      </c>
      <c r="X25" s="13">
        <f t="shared" si="90"/>
        <v>79754.347906387353</v>
      </c>
      <c r="Y25" s="13">
        <f t="shared" si="91"/>
        <v>38032.275849171521</v>
      </c>
      <c r="Z25" s="13">
        <f t="shared" si="92"/>
        <v>18136.865793704736</v>
      </c>
      <c r="AA25" s="13">
        <f t="shared" si="93"/>
        <v>8649.3663570919598</v>
      </c>
      <c r="AB25" s="13">
        <f t="shared" si="94"/>
        <v>4124.9468386358067</v>
      </c>
      <c r="AC25" s="13">
        <f t="shared" si="95"/>
        <v>4595.5470942432985</v>
      </c>
      <c r="AD25" s="13">
        <f t="shared" si="96"/>
        <v>47616319.346271329</v>
      </c>
      <c r="AE25" s="13">
        <f t="shared" si="97"/>
        <v>32975984.908022467</v>
      </c>
      <c r="AF25" s="13">
        <f t="shared" si="98"/>
        <v>18512618.28586939</v>
      </c>
      <c r="AG25" s="13">
        <f t="shared" si="99"/>
        <v>15459338.0062903</v>
      </c>
      <c r="AH25" s="21">
        <f t="shared" si="0"/>
        <v>0</v>
      </c>
      <c r="AI25" s="21">
        <f t="shared" si="1"/>
        <v>1538.0813471515032</v>
      </c>
      <c r="AJ25" s="21">
        <f t="shared" si="2"/>
        <v>19754.469025886934</v>
      </c>
      <c r="AK25" s="21">
        <f t="shared" si="3"/>
        <v>89404.093448918502</v>
      </c>
      <c r="AL25" s="21">
        <f t="shared" si="4"/>
        <v>154768.7004235528</v>
      </c>
      <c r="AM25" s="21">
        <f t="shared" si="5"/>
        <v>135508.06574881473</v>
      </c>
      <c r="AN25" s="21">
        <f t="shared" si="6"/>
        <v>74708.836001993797</v>
      </c>
      <c r="AO25" s="21">
        <f t="shared" si="7"/>
        <v>37441.774724144911</v>
      </c>
      <c r="AP25" s="21">
        <f t="shared" si="8"/>
        <v>18038.544889665176</v>
      </c>
      <c r="AQ25" s="21">
        <f t="shared" si="9"/>
        <v>8623.4182580206852</v>
      </c>
      <c r="AR25" s="21">
        <f t="shared" si="10"/>
        <v>4124.9468386358067</v>
      </c>
      <c r="AS25" s="21">
        <f t="shared" si="11"/>
        <v>4595.5470942432985</v>
      </c>
      <c r="AT25" s="21">
        <f t="shared" si="12"/>
        <v>0</v>
      </c>
      <c r="AU25" s="21">
        <f t="shared" si="13"/>
        <v>16487992.454011234</v>
      </c>
      <c r="AV25" s="21">
        <f t="shared" si="14"/>
        <v>18512618.28586939</v>
      </c>
      <c r="AW25" s="21">
        <f t="shared" si="15"/>
        <v>15459338.0062903</v>
      </c>
      <c r="AX25" s="13">
        <f t="shared" si="100"/>
        <v>0.2</v>
      </c>
      <c r="AY25" s="13">
        <f t="shared" si="124"/>
        <v>0.6</v>
      </c>
      <c r="AZ25" s="13">
        <f t="shared" si="125"/>
        <v>1.2658</v>
      </c>
      <c r="BA25" s="13">
        <f t="shared" si="126"/>
        <v>2.1566398199315513</v>
      </c>
      <c r="BB25" s="13">
        <f t="shared" si="127"/>
        <v>3.3190599285513231</v>
      </c>
      <c r="BC25" s="13">
        <f t="shared" si="128"/>
        <v>4.8256805614814064</v>
      </c>
      <c r="BD25" s="13">
        <f t="shared" si="129"/>
        <v>6.7427308386233316</v>
      </c>
      <c r="BE25" s="13">
        <f t="shared" si="130"/>
        <v>9.147656365872642</v>
      </c>
      <c r="BF25" s="13">
        <f t="shared" si="131"/>
        <v>11.101690314531714</v>
      </c>
      <c r="BG25" s="13">
        <f t="shared" si="132"/>
        <v>13.304096370583656</v>
      </c>
      <c r="BH25" s="13">
        <f t="shared" si="133"/>
        <v>15.187149130881398</v>
      </c>
      <c r="BI25" s="13">
        <f t="shared" si="134"/>
        <v>16.897282770414048</v>
      </c>
      <c r="BJ25" s="13">
        <f t="shared" si="16"/>
        <v>4.0000000000000001E-3</v>
      </c>
      <c r="BK25" s="13">
        <f t="shared" si="17"/>
        <v>0.01</v>
      </c>
      <c r="BL25" s="13">
        <f t="shared" si="18"/>
        <v>0.02</v>
      </c>
      <c r="BM25" s="13">
        <f t="shared" si="19"/>
        <v>0.03</v>
      </c>
      <c r="BN25" s="30">
        <f t="shared" si="102"/>
        <v>4694394.6208784459</v>
      </c>
      <c r="BO25" s="30">
        <f t="shared" si="103"/>
        <v>1354257.6323714068</v>
      </c>
      <c r="BP25" s="30">
        <f t="shared" si="104"/>
        <v>2687875.3437789483</v>
      </c>
      <c r="BQ25" s="30">
        <f t="shared" si="105"/>
        <v>998912.43044620915</v>
      </c>
      <c r="BR25" s="36">
        <f t="shared" si="20"/>
        <v>0.3</v>
      </c>
      <c r="BS25" s="36">
        <f t="shared" si="21"/>
        <v>0.25</v>
      </c>
      <c r="BT25" s="36">
        <f t="shared" si="22"/>
        <v>0.2</v>
      </c>
      <c r="BU25" s="36">
        <f t="shared" si="23"/>
        <v>0.2</v>
      </c>
      <c r="BV25" s="36">
        <f t="shared" si="24"/>
        <v>0.2</v>
      </c>
      <c r="BW25" s="36">
        <f t="shared" si="25"/>
        <v>0.2</v>
      </c>
      <c r="BX25" s="36">
        <f t="shared" si="26"/>
        <v>0.2</v>
      </c>
      <c r="BY25" s="36">
        <f t="shared" si="27"/>
        <v>0.2</v>
      </c>
      <c r="BZ25" s="36">
        <f t="shared" si="28"/>
        <v>0.2</v>
      </c>
      <c r="CA25" s="36">
        <f t="shared" si="29"/>
        <v>0.2</v>
      </c>
      <c r="CB25" s="36">
        <f t="shared" si="30"/>
        <v>0.2</v>
      </c>
      <c r="CC25" s="36">
        <f t="shared" si="31"/>
        <v>0.2</v>
      </c>
      <c r="CD25" s="35">
        <f t="shared" si="32"/>
        <v>0.36737348134470982</v>
      </c>
      <c r="CE25" s="35">
        <f t="shared" si="33"/>
        <v>0.36737348134470982</v>
      </c>
      <c r="CF25" s="35">
        <f t="shared" si="34"/>
        <v>0.36737348134470982</v>
      </c>
      <c r="CG25" s="35">
        <f t="shared" si="35"/>
        <v>0.36737348134470982</v>
      </c>
      <c r="CH25" s="28">
        <f t="shared" si="36"/>
        <v>0</v>
      </c>
      <c r="CI25" s="28">
        <f t="shared" si="37"/>
        <v>0</v>
      </c>
      <c r="CJ25" s="28">
        <f t="shared" si="38"/>
        <v>15767.699527415476</v>
      </c>
      <c r="CK25" s="28">
        <f t="shared" si="39"/>
        <v>23884.840458759089</v>
      </c>
      <c r="CL25" s="28">
        <f t="shared" si="40"/>
        <v>32520.615433379033</v>
      </c>
      <c r="CM25" s="28">
        <f t="shared" si="41"/>
        <v>31771.640466700352</v>
      </c>
      <c r="CN25" s="28">
        <f t="shared" si="42"/>
        <v>22669.507451477941</v>
      </c>
      <c r="CO25" s="28">
        <f t="shared" si="43"/>
        <v>15650.290951818191</v>
      </c>
      <c r="CP25" s="28">
        <f t="shared" si="44"/>
        <v>9599.5702238301037</v>
      </c>
      <c r="CQ25" s="28">
        <f t="shared" si="45"/>
        <v>5789.4741154997973</v>
      </c>
      <c r="CR25" s="28">
        <f t="shared" si="46"/>
        <v>3305.4224298723911</v>
      </c>
      <c r="CS25" s="28">
        <f t="shared" si="47"/>
        <v>4276.6391775063512</v>
      </c>
      <c r="CT25" s="44">
        <f t="shared" si="106"/>
        <v>0</v>
      </c>
      <c r="CU25" s="44">
        <f t="shared" si="107"/>
        <v>0</v>
      </c>
      <c r="CV25" s="44">
        <f t="shared" si="108"/>
        <v>3.9489099207048628E-2</v>
      </c>
      <c r="CW25" s="44">
        <f t="shared" si="109"/>
        <v>7.3060137014526141E-2</v>
      </c>
      <c r="CX25" s="44">
        <f t="shared" si="110"/>
        <v>0.12149589751925005</v>
      </c>
      <c r="CY25" s="44">
        <f t="shared" si="111"/>
        <v>0.18996446744474682</v>
      </c>
      <c r="CZ25" s="44">
        <f t="shared" si="112"/>
        <v>0.2842416500989583</v>
      </c>
      <c r="DA25" s="44">
        <f t="shared" si="113"/>
        <v>0.41150024820718456</v>
      </c>
      <c r="DB25" s="44">
        <f t="shared" si="114"/>
        <v>0.52928495656411001</v>
      </c>
      <c r="DC25" s="44">
        <f t="shared" si="115"/>
        <v>0.66935239836994265</v>
      </c>
      <c r="DD25" s="44">
        <f t="shared" si="116"/>
        <v>0.80132485561087941</v>
      </c>
      <c r="DE25" s="44">
        <f t="shared" si="117"/>
        <v>0.93060501607383517</v>
      </c>
      <c r="DF25" s="21">
        <f t="shared" si="49"/>
        <v>0</v>
      </c>
      <c r="DG25" s="21">
        <f t="shared" si="50"/>
        <v>0</v>
      </c>
      <c r="DH25" s="21">
        <f t="shared" si="51"/>
        <v>0</v>
      </c>
      <c r="DI25" s="21">
        <f t="shared" si="52"/>
        <v>0</v>
      </c>
      <c r="DJ25" s="21">
        <f t="shared" si="118"/>
        <v>57719.167841499278</v>
      </c>
      <c r="DK25" s="21">
        <f t="shared" si="53"/>
        <v>63871.875729942411</v>
      </c>
      <c r="DL25" s="21">
        <f t="shared" si="54"/>
        <v>30457.67679981334</v>
      </c>
      <c r="DM25" s="21">
        <f t="shared" si="55"/>
        <v>14524.283580565027</v>
      </c>
      <c r="DN25" s="21">
        <f t="shared" si="56"/>
        <v>6926.353371412969</v>
      </c>
      <c r="DO25" s="21">
        <f t="shared" si="57"/>
        <v>3303.1378469384676</v>
      </c>
      <c r="DP25" s="21">
        <f t="shared" si="58"/>
        <v>1575.2908891568936</v>
      </c>
      <c r="DQ25" s="21">
        <f t="shared" si="59"/>
        <v>1755.0101253297796</v>
      </c>
      <c r="DR25" s="21">
        <f t="shared" si="60"/>
        <v>0</v>
      </c>
      <c r="DS25" s="21">
        <f t="shared" si="61"/>
        <v>5258776.3047177177</v>
      </c>
      <c r="DT25" s="21">
        <f t="shared" si="62"/>
        <v>5379551.0763883861</v>
      </c>
      <c r="DU25" s="21">
        <f t="shared" si="63"/>
        <v>4492303.4185537044</v>
      </c>
      <c r="DV25" s="13">
        <f t="shared" si="64"/>
        <v>0</v>
      </c>
      <c r="DW25" s="13">
        <f t="shared" si="65"/>
        <v>0</v>
      </c>
      <c r="DX25" s="13">
        <f t="shared" si="66"/>
        <v>0</v>
      </c>
      <c r="DY25" s="13">
        <f t="shared" si="67"/>
        <v>0</v>
      </c>
      <c r="DZ25" s="13">
        <f t="shared" si="68"/>
        <v>191573.37709204841</v>
      </c>
      <c r="EA25" s="13">
        <f t="shared" si="119"/>
        <v>308225.26913533913</v>
      </c>
      <c r="EB25" s="13">
        <f t="shared" si="69"/>
        <v>205367.91663092378</v>
      </c>
      <c r="EC25" s="13">
        <f t="shared" si="70"/>
        <v>132863.15515549516</v>
      </c>
      <c r="ED25" s="13">
        <f t="shared" si="71"/>
        <v>76894.230138439438</v>
      </c>
      <c r="EE25" s="13">
        <f t="shared" si="72"/>
        <v>43945.264240991579</v>
      </c>
      <c r="EF25" s="13">
        <f t="shared" si="73"/>
        <v>23924.177658144501</v>
      </c>
      <c r="EG25" s="13">
        <f t="shared" si="74"/>
        <v>29654.902352637084</v>
      </c>
      <c r="EH25" s="13">
        <f t="shared" si="75"/>
        <v>0</v>
      </c>
      <c r="EI25" s="13">
        <f t="shared" si="76"/>
        <v>52587.763047177177</v>
      </c>
      <c r="EJ25" s="13">
        <f t="shared" si="77"/>
        <v>107591.02152776772</v>
      </c>
      <c r="EK25" s="13">
        <f t="shared" si="78"/>
        <v>134769.10255661112</v>
      </c>
      <c r="EL25" s="21">
        <f t="shared" si="120"/>
        <v>1012448.292404019</v>
      </c>
      <c r="EM25" s="21">
        <f t="shared" si="121"/>
        <v>294947.88713155605</v>
      </c>
      <c r="EN25" s="21">
        <f t="shared" si="79"/>
        <v>15186724386.060286</v>
      </c>
      <c r="EO25" s="21">
        <f t="shared" si="80"/>
        <v>6636327460.4600115</v>
      </c>
      <c r="EP25" s="21">
        <f t="shared" si="81"/>
        <v>12934187956.197027</v>
      </c>
      <c r="EQ25" s="21">
        <f t="shared" si="82"/>
        <v>4537251516.0431824</v>
      </c>
      <c r="ER25" s="21">
        <f t="shared" si="83"/>
        <v>4305417161.7339535</v>
      </c>
      <c r="ES25" s="21">
        <f t="shared" si="84"/>
        <v>1510319829.1560485</v>
      </c>
    </row>
    <row r="26" spans="1:149" x14ac:dyDescent="0.25">
      <c r="A26" s="19" t="s">
        <v>4</v>
      </c>
      <c r="B26" s="19">
        <v>725000</v>
      </c>
      <c r="O26" s="3">
        <v>24</v>
      </c>
      <c r="P26" s="21">
        <f t="shared" si="122"/>
        <v>450507.28597265156</v>
      </c>
      <c r="Q26" s="21">
        <f t="shared" si="123"/>
        <v>419815.18888336571</v>
      </c>
      <c r="R26" s="13">
        <f t="shared" si="135"/>
        <v>692051.1097236214</v>
      </c>
      <c r="S26" s="13">
        <f t="shared" si="85"/>
        <v>512688.17025714333</v>
      </c>
      <c r="T26" s="13">
        <f t="shared" si="86"/>
        <v>399286.31919637066</v>
      </c>
      <c r="U26" s="13">
        <f t="shared" si="87"/>
        <v>326913.01568317169</v>
      </c>
      <c r="V26" s="13">
        <f t="shared" si="88"/>
        <v>267659.68714319845</v>
      </c>
      <c r="W26" s="13">
        <f t="shared" si="89"/>
        <v>167242.46066027478</v>
      </c>
      <c r="X26" s="13">
        <f t="shared" si="90"/>
        <v>79748.950145360723</v>
      </c>
      <c r="Y26" s="13">
        <f t="shared" si="91"/>
        <v>38028.752418697972</v>
      </c>
      <c r="Z26" s="13">
        <f t="shared" si="92"/>
        <v>18134.685320045573</v>
      </c>
      <c r="AA26" s="13">
        <f t="shared" si="93"/>
        <v>8648.0849887898221</v>
      </c>
      <c r="AB26" s="13">
        <f t="shared" si="94"/>
        <v>4124.2216933244199</v>
      </c>
      <c r="AC26" s="13">
        <f t="shared" si="95"/>
        <v>4593.607850759171</v>
      </c>
      <c r="AD26" s="13">
        <f t="shared" si="96"/>
        <v>47616578.917902142</v>
      </c>
      <c r="AE26" s="13">
        <f t="shared" si="97"/>
        <v>32976726.81211634</v>
      </c>
      <c r="AF26" s="13">
        <f t="shared" si="98"/>
        <v>18513468.434608985</v>
      </c>
      <c r="AG26" s="13">
        <f t="shared" si="99"/>
        <v>15461401.604445711</v>
      </c>
      <c r="AH26" s="21">
        <f t="shared" si="0"/>
        <v>0</v>
      </c>
      <c r="AI26" s="21">
        <f t="shared" si="1"/>
        <v>1538.0645107714299</v>
      </c>
      <c r="AJ26" s="21">
        <f t="shared" si="2"/>
        <v>19754.165265504656</v>
      </c>
      <c r="AK26" s="21">
        <f t="shared" si="3"/>
        <v>89402.106815250518</v>
      </c>
      <c r="AL26" s="21">
        <f t="shared" si="4"/>
        <v>154763.64857658837</v>
      </c>
      <c r="AM26" s="21">
        <f t="shared" si="5"/>
        <v>135501.60207390893</v>
      </c>
      <c r="AN26" s="21">
        <f t="shared" si="6"/>
        <v>74703.779720375271</v>
      </c>
      <c r="AO26" s="21">
        <f t="shared" si="7"/>
        <v>37438.305999565557</v>
      </c>
      <c r="AP26" s="21">
        <f t="shared" si="8"/>
        <v>18036.376236468484</v>
      </c>
      <c r="AQ26" s="21">
        <f t="shared" si="9"/>
        <v>8622.140733823453</v>
      </c>
      <c r="AR26" s="21">
        <f t="shared" si="10"/>
        <v>4124.2216933244199</v>
      </c>
      <c r="AS26" s="21">
        <f t="shared" si="11"/>
        <v>4593.607850759171</v>
      </c>
      <c r="AT26" s="21">
        <f t="shared" si="12"/>
        <v>0</v>
      </c>
      <c r="AU26" s="21">
        <f t="shared" si="13"/>
        <v>16488363.40605817</v>
      </c>
      <c r="AV26" s="21">
        <f t="shared" si="14"/>
        <v>18513468.434608985</v>
      </c>
      <c r="AW26" s="21">
        <f t="shared" si="15"/>
        <v>15461401.604445711</v>
      </c>
      <c r="AX26" s="13">
        <f t="shared" si="100"/>
        <v>0.2</v>
      </c>
      <c r="AY26" s="13">
        <f t="shared" si="124"/>
        <v>0.6</v>
      </c>
      <c r="AZ26" s="13">
        <f t="shared" si="125"/>
        <v>1.2658</v>
      </c>
      <c r="BA26" s="13">
        <f t="shared" si="126"/>
        <v>2.1566423694449339</v>
      </c>
      <c r="BB26" s="13">
        <f t="shared" si="127"/>
        <v>3.3190677062507028</v>
      </c>
      <c r="BC26" s="13">
        <f t="shared" si="128"/>
        <v>4.8256976311621029</v>
      </c>
      <c r="BD26" s="13">
        <f t="shared" si="129"/>
        <v>6.7427631505293322</v>
      </c>
      <c r="BE26" s="13">
        <f t="shared" si="130"/>
        <v>9.1477123316648932</v>
      </c>
      <c r="BF26" s="13">
        <f t="shared" si="131"/>
        <v>11.101781452745158</v>
      </c>
      <c r="BG26" s="13">
        <f t="shared" si="132"/>
        <v>13.304240049329152</v>
      </c>
      <c r="BH26" s="13">
        <f t="shared" si="133"/>
        <v>15.187369710013135</v>
      </c>
      <c r="BI26" s="13">
        <f t="shared" si="134"/>
        <v>16.897612830345206</v>
      </c>
      <c r="BJ26" s="13">
        <f t="shared" si="16"/>
        <v>4.0000000000000001E-3</v>
      </c>
      <c r="BK26" s="13">
        <f t="shared" si="17"/>
        <v>0.01</v>
      </c>
      <c r="BL26" s="13">
        <f t="shared" si="18"/>
        <v>0.02</v>
      </c>
      <c r="BM26" s="13">
        <f t="shared" si="19"/>
        <v>0.03</v>
      </c>
      <c r="BN26" s="30">
        <f t="shared" si="102"/>
        <v>4694161.3459496284</v>
      </c>
      <c r="BO26" s="30">
        <f t="shared" si="103"/>
        <v>1354345.000618323</v>
      </c>
      <c r="BP26" s="30">
        <f t="shared" si="104"/>
        <v>2687685.5912042279</v>
      </c>
      <c r="BQ26" s="30">
        <f t="shared" si="105"/>
        <v>998995.05088613264</v>
      </c>
      <c r="BR26" s="36">
        <f t="shared" si="20"/>
        <v>0.3</v>
      </c>
      <c r="BS26" s="36">
        <f t="shared" si="21"/>
        <v>0.25</v>
      </c>
      <c r="BT26" s="36">
        <f t="shared" si="22"/>
        <v>0.2</v>
      </c>
      <c r="BU26" s="36">
        <f t="shared" si="23"/>
        <v>0.2</v>
      </c>
      <c r="BV26" s="36">
        <f t="shared" si="24"/>
        <v>0.2</v>
      </c>
      <c r="BW26" s="36">
        <f t="shared" si="25"/>
        <v>0.2</v>
      </c>
      <c r="BX26" s="36">
        <f t="shared" si="26"/>
        <v>0.2</v>
      </c>
      <c r="BY26" s="36">
        <f t="shared" si="27"/>
        <v>0.2</v>
      </c>
      <c r="BZ26" s="36">
        <f t="shared" si="28"/>
        <v>0.2</v>
      </c>
      <c r="CA26" s="36">
        <f t="shared" si="29"/>
        <v>0.2</v>
      </c>
      <c r="CB26" s="36">
        <f t="shared" si="30"/>
        <v>0.2</v>
      </c>
      <c r="CC26" s="36">
        <f t="shared" si="31"/>
        <v>0.2</v>
      </c>
      <c r="CD26" s="35">
        <f t="shared" si="32"/>
        <v>0.36736261060626013</v>
      </c>
      <c r="CE26" s="35">
        <f t="shared" si="33"/>
        <v>0.36736261060626013</v>
      </c>
      <c r="CF26" s="35">
        <f t="shared" si="34"/>
        <v>0.36736261060626013</v>
      </c>
      <c r="CG26" s="35">
        <f t="shared" si="35"/>
        <v>0.36736261060626013</v>
      </c>
      <c r="CH26" s="28">
        <f t="shared" si="36"/>
        <v>0</v>
      </c>
      <c r="CI26" s="28">
        <f t="shared" si="37"/>
        <v>0</v>
      </c>
      <c r="CJ26" s="28">
        <f t="shared" si="38"/>
        <v>15768.509615262865</v>
      </c>
      <c r="CK26" s="28">
        <f t="shared" si="39"/>
        <v>23885.904096415816</v>
      </c>
      <c r="CL26" s="28">
        <f t="shared" si="40"/>
        <v>32521.724737057713</v>
      </c>
      <c r="CM26" s="28">
        <f t="shared" si="41"/>
        <v>31772.245763796946</v>
      </c>
      <c r="CN26" s="28">
        <f t="shared" si="42"/>
        <v>22669.486366136043</v>
      </c>
      <c r="CO26" s="28">
        <f t="shared" si="43"/>
        <v>15649.885685683037</v>
      </c>
      <c r="CP26" s="28">
        <f t="shared" si="44"/>
        <v>9599.0568668291853</v>
      </c>
      <c r="CQ26" s="28">
        <f t="shared" si="45"/>
        <v>5789.0028432022755</v>
      </c>
      <c r="CR26" s="28">
        <f t="shared" si="46"/>
        <v>3305.0619650595136</v>
      </c>
      <c r="CS26" s="28">
        <f t="shared" si="47"/>
        <v>4275.1198710905837</v>
      </c>
      <c r="CT26" s="44">
        <f t="shared" si="106"/>
        <v>0</v>
      </c>
      <c r="CU26" s="44">
        <f t="shared" si="107"/>
        <v>0</v>
      </c>
      <c r="CV26" s="44">
        <f t="shared" si="108"/>
        <v>3.9491735271570488E-2</v>
      </c>
      <c r="CW26" s="44">
        <f t="shared" si="109"/>
        <v>7.3065014087921418E-2</v>
      </c>
      <c r="CX26" s="44">
        <f t="shared" si="110"/>
        <v>0.12150400788467831</v>
      </c>
      <c r="CY26" s="44">
        <f t="shared" si="111"/>
        <v>0.18997714837703192</v>
      </c>
      <c r="CZ26" s="44">
        <f t="shared" si="112"/>
        <v>0.28426062443224287</v>
      </c>
      <c r="DA26" s="44">
        <f t="shared" si="113"/>
        <v>0.41152771759055401</v>
      </c>
      <c r="DB26" s="44">
        <f t="shared" si="114"/>
        <v>0.52932028857532232</v>
      </c>
      <c r="DC26" s="44">
        <f t="shared" si="115"/>
        <v>0.66939708047577418</v>
      </c>
      <c r="DD26" s="44">
        <f t="shared" si="116"/>
        <v>0.80137834743684577</v>
      </c>
      <c r="DE26" s="44">
        <f t="shared" si="117"/>
        <v>0.9306671378977307</v>
      </c>
      <c r="DF26" s="21">
        <f t="shared" si="49"/>
        <v>0</v>
      </c>
      <c r="DG26" s="21">
        <f t="shared" si="50"/>
        <v>0</v>
      </c>
      <c r="DH26" s="21">
        <f t="shared" si="51"/>
        <v>0</v>
      </c>
      <c r="DI26" s="21">
        <f t="shared" si="52"/>
        <v>0</v>
      </c>
      <c r="DJ26" s="21">
        <f t="shared" si="118"/>
        <v>57717.283814547758</v>
      </c>
      <c r="DK26" s="21">
        <f t="shared" si="53"/>
        <v>63868.829069671243</v>
      </c>
      <c r="DL26" s="21">
        <f t="shared" si="54"/>
        <v>30455.615429303674</v>
      </c>
      <c r="DM26" s="21">
        <f t="shared" si="55"/>
        <v>14522.938004939282</v>
      </c>
      <c r="DN26" s="21">
        <f t="shared" si="56"/>
        <v>6925.5206624293878</v>
      </c>
      <c r="DO26" s="21">
        <f t="shared" si="57"/>
        <v>3302.6485005563263</v>
      </c>
      <c r="DP26" s="21">
        <f t="shared" si="58"/>
        <v>1575.0139607873828</v>
      </c>
      <c r="DQ26" s="21">
        <f t="shared" si="59"/>
        <v>1754.2695406115017</v>
      </c>
      <c r="DR26" s="21">
        <f t="shared" si="60"/>
        <v>0</v>
      </c>
      <c r="DS26" s="21">
        <f t="shared" si="61"/>
        <v>5258920.4674307238</v>
      </c>
      <c r="DT26" s="21">
        <f t="shared" si="62"/>
        <v>5379823.5636339849</v>
      </c>
      <c r="DU26" s="21">
        <f t="shared" si="63"/>
        <v>4492924.3254553955</v>
      </c>
      <c r="DV26" s="13">
        <f t="shared" si="64"/>
        <v>0</v>
      </c>
      <c r="DW26" s="13">
        <f t="shared" si="65"/>
        <v>0</v>
      </c>
      <c r="DX26" s="13">
        <f t="shared" si="66"/>
        <v>0</v>
      </c>
      <c r="DY26" s="13">
        <f t="shared" si="67"/>
        <v>0</v>
      </c>
      <c r="DZ26" s="13">
        <f t="shared" si="68"/>
        <v>191567.57280137183</v>
      </c>
      <c r="EA26" s="13">
        <f t="shared" si="119"/>
        <v>308211.6571466098</v>
      </c>
      <c r="EB26" s="13">
        <f t="shared" si="69"/>
        <v>205355.00144340139</v>
      </c>
      <c r="EC26" s="13">
        <f t="shared" si="70"/>
        <v>132851.65907978782</v>
      </c>
      <c r="ED26" s="13">
        <f t="shared" si="71"/>
        <v>76885.616840761941</v>
      </c>
      <c r="EE26" s="13">
        <f t="shared" si="72"/>
        <v>43939.228449958347</v>
      </c>
      <c r="EF26" s="13">
        <f t="shared" si="73"/>
        <v>23920.319320910112</v>
      </c>
      <c r="EG26" s="13">
        <f t="shared" si="74"/>
        <v>29642.967497320704</v>
      </c>
      <c r="EH26" s="13">
        <f t="shared" si="75"/>
        <v>0</v>
      </c>
      <c r="EI26" s="13">
        <f t="shared" si="76"/>
        <v>52589.204674307242</v>
      </c>
      <c r="EJ26" s="13">
        <f t="shared" si="77"/>
        <v>107596.4712726797</v>
      </c>
      <c r="EK26" s="13">
        <f t="shared" si="78"/>
        <v>134787.72976366186</v>
      </c>
      <c r="EL26" s="21">
        <f t="shared" si="120"/>
        <v>1012374.0225801221</v>
      </c>
      <c r="EM26" s="21">
        <f t="shared" si="121"/>
        <v>294973.4057106488</v>
      </c>
      <c r="EN26" s="21">
        <f t="shared" si="79"/>
        <v>15185610338.701832</v>
      </c>
      <c r="EO26" s="21">
        <f t="shared" si="80"/>
        <v>6636901628.4895983</v>
      </c>
      <c r="EP26" s="21">
        <f t="shared" si="81"/>
        <v>12933073908.838573</v>
      </c>
      <c r="EQ26" s="21">
        <f t="shared" si="82"/>
        <v>4537825684.0727692</v>
      </c>
      <c r="ER26" s="21">
        <f t="shared" si="83"/>
        <v>4095086740.635169</v>
      </c>
      <c r="ES26" s="21">
        <f t="shared" si="84"/>
        <v>1436842464.6100936</v>
      </c>
    </row>
    <row r="27" spans="1:149" x14ac:dyDescent="0.25">
      <c r="A27" s="19" t="s">
        <v>5</v>
      </c>
      <c r="B27" s="19">
        <v>128000</v>
      </c>
      <c r="O27" s="3">
        <v>25</v>
      </c>
      <c r="P27" s="21">
        <f t="shared" si="122"/>
        <v>450507.28597265156</v>
      </c>
      <c r="Q27" s="21">
        <f t="shared" si="123"/>
        <v>419815.18888336571</v>
      </c>
      <c r="R27" s="13">
        <f t="shared" si="135"/>
        <v>692047.019955336</v>
      </c>
      <c r="S27" s="13">
        <f t="shared" si="85"/>
        <v>512684.07172626152</v>
      </c>
      <c r="T27" s="13">
        <f t="shared" si="86"/>
        <v>399281.94846770895</v>
      </c>
      <c r="U27" s="13">
        <f t="shared" si="87"/>
        <v>326907.98880937998</v>
      </c>
      <c r="V27" s="13">
        <f t="shared" si="88"/>
        <v>267653.73952127725</v>
      </c>
      <c r="W27" s="13">
        <f t="shared" si="89"/>
        <v>167237.00165393241</v>
      </c>
      <c r="X27" s="13">
        <f t="shared" si="90"/>
        <v>79745.146155650087</v>
      </c>
      <c r="Y27" s="13">
        <f t="shared" si="91"/>
        <v>38026.178639047263</v>
      </c>
      <c r="Z27" s="13">
        <f t="shared" si="92"/>
        <v>18133.005265369426</v>
      </c>
      <c r="AA27" s="13">
        <f t="shared" si="93"/>
        <v>8647.045287568304</v>
      </c>
      <c r="AB27" s="13">
        <f t="shared" si="94"/>
        <v>4123.6107067237099</v>
      </c>
      <c r="AC27" s="13">
        <f t="shared" si="95"/>
        <v>4592.2608537692249</v>
      </c>
      <c r="AD27" s="13">
        <f t="shared" si="96"/>
        <v>47616766.639758557</v>
      </c>
      <c r="AE27" s="13">
        <f t="shared" si="97"/>
        <v>32977265.063968543</v>
      </c>
      <c r="AF27" s="13">
        <f t="shared" si="98"/>
        <v>18514086.217147406</v>
      </c>
      <c r="AG27" s="13">
        <f t="shared" si="99"/>
        <v>15462895.808393024</v>
      </c>
      <c r="AH27" s="21">
        <f t="shared" si="0"/>
        <v>0</v>
      </c>
      <c r="AI27" s="21">
        <f t="shared" si="1"/>
        <v>1538.0522151787845</v>
      </c>
      <c r="AJ27" s="21">
        <f t="shared" si="2"/>
        <v>19753.949029455078</v>
      </c>
      <c r="AK27" s="21">
        <f t="shared" si="3"/>
        <v>89400.732097554632</v>
      </c>
      <c r="AL27" s="21">
        <f t="shared" si="4"/>
        <v>154760.20959898698</v>
      </c>
      <c r="AM27" s="21">
        <f t="shared" si="5"/>
        <v>135497.17912950713</v>
      </c>
      <c r="AN27" s="21">
        <f t="shared" si="6"/>
        <v>74700.216383066334</v>
      </c>
      <c r="AO27" s="21">
        <f t="shared" si="7"/>
        <v>37435.772181230474</v>
      </c>
      <c r="AP27" s="21">
        <f t="shared" si="8"/>
        <v>18034.705289457161</v>
      </c>
      <c r="AQ27" s="21">
        <f t="shared" si="9"/>
        <v>8621.1041517056001</v>
      </c>
      <c r="AR27" s="21">
        <f t="shared" si="10"/>
        <v>4123.6107067237099</v>
      </c>
      <c r="AS27" s="21">
        <f t="shared" si="11"/>
        <v>4592.2608537692249</v>
      </c>
      <c r="AT27" s="21">
        <f t="shared" si="12"/>
        <v>0</v>
      </c>
      <c r="AU27" s="21">
        <f t="shared" si="13"/>
        <v>16488632.531984271</v>
      </c>
      <c r="AV27" s="21">
        <f t="shared" si="14"/>
        <v>18514086.217147406</v>
      </c>
      <c r="AW27" s="21">
        <f t="shared" si="15"/>
        <v>15462895.808393024</v>
      </c>
      <c r="AX27" s="13">
        <f t="shared" si="100"/>
        <v>0.2</v>
      </c>
      <c r="AY27" s="13">
        <f t="shared" si="124"/>
        <v>0.6</v>
      </c>
      <c r="AZ27" s="13">
        <f t="shared" si="125"/>
        <v>1.2658</v>
      </c>
      <c r="BA27" s="13">
        <f t="shared" si="126"/>
        <v>2.1566442146900995</v>
      </c>
      <c r="BB27" s="13">
        <f t="shared" si="127"/>
        <v>3.3190733283203246</v>
      </c>
      <c r="BC27" s="13">
        <f t="shared" si="128"/>
        <v>4.8257099506661225</v>
      </c>
      <c r="BD27" s="13">
        <f t="shared" si="129"/>
        <v>6.7427864338668488</v>
      </c>
      <c r="BE27" s="13">
        <f t="shared" si="130"/>
        <v>9.1477526127908746</v>
      </c>
      <c r="BF27" s="13">
        <f t="shared" si="131"/>
        <v>11.101847032821587</v>
      </c>
      <c r="BG27" s="13">
        <f t="shared" si="132"/>
        <v>13.304343553746522</v>
      </c>
      <c r="BH27" s="13">
        <f t="shared" si="133"/>
        <v>15.187529027495673</v>
      </c>
      <c r="BI27" s="13">
        <f t="shared" si="134"/>
        <v>16.897852131616034</v>
      </c>
      <c r="BJ27" s="13">
        <f t="shared" si="16"/>
        <v>4.0000000000000001E-3</v>
      </c>
      <c r="BK27" s="13">
        <f t="shared" si="17"/>
        <v>0.01</v>
      </c>
      <c r="BL27" s="13">
        <f t="shared" si="18"/>
        <v>0.02</v>
      </c>
      <c r="BM27" s="13">
        <f t="shared" si="19"/>
        <v>0.03</v>
      </c>
      <c r="BN27" s="30">
        <f t="shared" si="102"/>
        <v>4693993.2900303882</v>
      </c>
      <c r="BO27" s="30">
        <f t="shared" si="103"/>
        <v>1354408.3157934584</v>
      </c>
      <c r="BP27" s="30">
        <f t="shared" si="104"/>
        <v>2687547.782688661</v>
      </c>
      <c r="BQ27" s="30">
        <f t="shared" si="105"/>
        <v>999054.92391458154</v>
      </c>
      <c r="BR27" s="36">
        <f t="shared" si="20"/>
        <v>0.3</v>
      </c>
      <c r="BS27" s="36">
        <f t="shared" si="21"/>
        <v>0.25</v>
      </c>
      <c r="BT27" s="36">
        <f t="shared" si="22"/>
        <v>0.2</v>
      </c>
      <c r="BU27" s="36">
        <f t="shared" si="23"/>
        <v>0.2</v>
      </c>
      <c r="BV27" s="36">
        <f t="shared" si="24"/>
        <v>0.2</v>
      </c>
      <c r="BW27" s="36">
        <f t="shared" si="25"/>
        <v>0.2</v>
      </c>
      <c r="BX27" s="36">
        <f t="shared" si="26"/>
        <v>0.2</v>
      </c>
      <c r="BY27" s="36">
        <f t="shared" si="27"/>
        <v>0.2</v>
      </c>
      <c r="BZ27" s="36">
        <f t="shared" si="28"/>
        <v>0.2</v>
      </c>
      <c r="CA27" s="36">
        <f t="shared" si="29"/>
        <v>0.2</v>
      </c>
      <c r="CB27" s="36">
        <f t="shared" si="30"/>
        <v>0.2</v>
      </c>
      <c r="CC27" s="36">
        <f t="shared" si="31"/>
        <v>0.2</v>
      </c>
      <c r="CD27" s="35">
        <f t="shared" si="32"/>
        <v>0.36735474197655449</v>
      </c>
      <c r="CE27" s="35">
        <f t="shared" si="33"/>
        <v>0.36735474197655449</v>
      </c>
      <c r="CF27" s="35">
        <f t="shared" si="34"/>
        <v>0.36735474197655449</v>
      </c>
      <c r="CG27" s="35">
        <f t="shared" si="35"/>
        <v>0.36735474197655449</v>
      </c>
      <c r="CH27" s="28">
        <f t="shared" si="36"/>
        <v>0</v>
      </c>
      <c r="CI27" s="28">
        <f t="shared" si="37"/>
        <v>0</v>
      </c>
      <c r="CJ27" s="28">
        <f t="shared" si="38"/>
        <v>15769.099714705284</v>
      </c>
      <c r="CK27" s="28">
        <f t="shared" si="39"/>
        <v>23886.692140078958</v>
      </c>
      <c r="CL27" s="28">
        <f t="shared" si="40"/>
        <v>32522.575102849201</v>
      </c>
      <c r="CM27" s="28">
        <f t="shared" si="41"/>
        <v>31772.745435874545</v>
      </c>
      <c r="CN27" s="28">
        <f t="shared" si="42"/>
        <v>22669.501501817642</v>
      </c>
      <c r="CO27" s="28">
        <f t="shared" si="43"/>
        <v>15649.583430452189</v>
      </c>
      <c r="CP27" s="28">
        <f t="shared" si="44"/>
        <v>9598.6318386893709</v>
      </c>
      <c r="CQ27" s="28">
        <f t="shared" si="45"/>
        <v>5788.5868479418232</v>
      </c>
      <c r="CR27" s="28">
        <f t="shared" si="46"/>
        <v>3304.7321742486006</v>
      </c>
      <c r="CS27" s="28">
        <f t="shared" si="47"/>
        <v>4274.0729901737477</v>
      </c>
      <c r="CT27" s="44">
        <f t="shared" si="106"/>
        <v>0</v>
      </c>
      <c r="CU27" s="44">
        <f t="shared" si="107"/>
        <v>0</v>
      </c>
      <c r="CV27" s="44">
        <f t="shared" si="108"/>
        <v>3.9493645468374021E-2</v>
      </c>
      <c r="CW27" s="44">
        <f t="shared" si="109"/>
        <v>7.3068548208551992E-2</v>
      </c>
      <c r="CX27" s="44">
        <f t="shared" si="110"/>
        <v>0.12150988497683143</v>
      </c>
      <c r="CY27" s="44">
        <f t="shared" si="111"/>
        <v>0.18998633748303295</v>
      </c>
      <c r="CZ27" s="44">
        <f t="shared" si="112"/>
        <v>0.28427437398597666</v>
      </c>
      <c r="DA27" s="44">
        <f t="shared" si="113"/>
        <v>0.4115476229941859</v>
      </c>
      <c r="DB27" s="44">
        <f t="shared" si="114"/>
        <v>0.52934589155063683</v>
      </c>
      <c r="DC27" s="44">
        <f t="shared" si="115"/>
        <v>0.66942945890013628</v>
      </c>
      <c r="DD27" s="44">
        <f t="shared" si="116"/>
        <v>0.80141710973349267</v>
      </c>
      <c r="DE27" s="44">
        <f t="shared" si="117"/>
        <v>0.93071215383283035</v>
      </c>
      <c r="DF27" s="21">
        <f t="shared" si="49"/>
        <v>0</v>
      </c>
      <c r="DG27" s="21">
        <f t="shared" si="50"/>
        <v>0</v>
      </c>
      <c r="DH27" s="21">
        <f t="shared" si="51"/>
        <v>0</v>
      </c>
      <c r="DI27" s="21">
        <f t="shared" si="52"/>
        <v>0</v>
      </c>
      <c r="DJ27" s="21">
        <f t="shared" si="118"/>
        <v>57716.001288269297</v>
      </c>
      <c r="DK27" s="21">
        <f t="shared" si="53"/>
        <v>63866.74430996611</v>
      </c>
      <c r="DL27" s="21">
        <f t="shared" si="54"/>
        <v>30454.162709894666</v>
      </c>
      <c r="DM27" s="21">
        <f t="shared" si="55"/>
        <v>14521.955094905998</v>
      </c>
      <c r="DN27" s="21">
        <f t="shared" si="56"/>
        <v>6924.8790602637955</v>
      </c>
      <c r="DO27" s="21">
        <f t="shared" si="57"/>
        <v>3302.251445290944</v>
      </c>
      <c r="DP27" s="21">
        <f t="shared" si="58"/>
        <v>1574.7806289013861</v>
      </c>
      <c r="DQ27" s="21">
        <f t="shared" si="59"/>
        <v>1753.7551310520598</v>
      </c>
      <c r="DR27" s="21">
        <f t="shared" si="60"/>
        <v>0</v>
      </c>
      <c r="DS27" s="21">
        <f t="shared" si="61"/>
        <v>5259025.015368294</v>
      </c>
      <c r="DT27" s="21">
        <f t="shared" si="62"/>
        <v>5380021.5028379308</v>
      </c>
      <c r="DU27" s="21">
        <f t="shared" si="63"/>
        <v>4493373.9083621241</v>
      </c>
      <c r="DV27" s="13">
        <f t="shared" si="64"/>
        <v>0</v>
      </c>
      <c r="DW27" s="13">
        <f t="shared" si="65"/>
        <v>0</v>
      </c>
      <c r="DX27" s="13">
        <f t="shared" si="66"/>
        <v>0</v>
      </c>
      <c r="DY27" s="13">
        <f t="shared" si="67"/>
        <v>0</v>
      </c>
      <c r="DZ27" s="13">
        <f t="shared" si="68"/>
        <v>191563.64049319612</v>
      </c>
      <c r="EA27" s="13">
        <f t="shared" si="119"/>
        <v>308202.3835332524</v>
      </c>
      <c r="EB27" s="13">
        <f t="shared" si="69"/>
        <v>205345.91517505143</v>
      </c>
      <c r="EC27" s="13">
        <f t="shared" si="70"/>
        <v>132843.25266225811</v>
      </c>
      <c r="ED27" s="13">
        <f t="shared" si="71"/>
        <v>76878.948047837956</v>
      </c>
      <c r="EE27" s="13">
        <f t="shared" si="72"/>
        <v>43934.287729006704</v>
      </c>
      <c r="EF27" s="13">
        <f t="shared" si="73"/>
        <v>23917.026513377692</v>
      </c>
      <c r="EG27" s="13">
        <f t="shared" si="74"/>
        <v>29634.694879580606</v>
      </c>
      <c r="EH27" s="13">
        <f t="shared" si="75"/>
        <v>0</v>
      </c>
      <c r="EI27" s="13">
        <f t="shared" si="76"/>
        <v>52590.250153682944</v>
      </c>
      <c r="EJ27" s="13">
        <f t="shared" si="77"/>
        <v>107600.43005675862</v>
      </c>
      <c r="EK27" s="13">
        <f t="shared" si="78"/>
        <v>134801.21725086373</v>
      </c>
      <c r="EL27" s="21">
        <f t="shared" si="120"/>
        <v>1012320.149033561</v>
      </c>
      <c r="EM27" s="21">
        <f t="shared" si="121"/>
        <v>294991.89746130526</v>
      </c>
      <c r="EN27" s="21">
        <f t="shared" si="79"/>
        <v>15184802235.503414</v>
      </c>
      <c r="EO27" s="21">
        <f t="shared" si="80"/>
        <v>6637317692.8793678</v>
      </c>
      <c r="EP27" s="21">
        <f t="shared" si="81"/>
        <v>12932265805.640156</v>
      </c>
      <c r="EQ27" s="21">
        <f t="shared" si="82"/>
        <v>4538241748.4625397</v>
      </c>
      <c r="ER27" s="21">
        <f t="shared" si="83"/>
        <v>3895123607.5689054</v>
      </c>
      <c r="ES27" s="21">
        <f t="shared" si="84"/>
        <v>1366892146.8952284</v>
      </c>
    </row>
    <row r="28" spans="1:149" x14ac:dyDescent="0.25">
      <c r="A28" s="19" t="s">
        <v>6</v>
      </c>
      <c r="B28" s="19">
        <v>50000000</v>
      </c>
      <c r="O28" s="3">
        <v>26</v>
      </c>
      <c r="P28" s="21">
        <f t="shared" si="122"/>
        <v>450507.28597265156</v>
      </c>
      <c r="Q28" s="21">
        <f t="shared" si="123"/>
        <v>419815.18888336571</v>
      </c>
      <c r="R28" s="13">
        <f t="shared" si="135"/>
        <v>692043.99567792623</v>
      </c>
      <c r="S28" s="13">
        <f t="shared" si="85"/>
        <v>512681.04195139732</v>
      </c>
      <c r="T28" s="13">
        <f t="shared" si="86"/>
        <v>399278.75652864878</v>
      </c>
      <c r="U28" s="13">
        <f t="shared" si="87"/>
        <v>326904.41035941127</v>
      </c>
      <c r="V28" s="13">
        <f t="shared" si="88"/>
        <v>267649.62386511214</v>
      </c>
      <c r="W28" s="13">
        <f t="shared" si="89"/>
        <v>167233.28550800215</v>
      </c>
      <c r="X28" s="13">
        <f t="shared" si="90"/>
        <v>79742.54317278965</v>
      </c>
      <c r="Y28" s="13">
        <f t="shared" si="91"/>
        <v>38024.364807115759</v>
      </c>
      <c r="Z28" s="13">
        <f t="shared" si="92"/>
        <v>18131.778026583248</v>
      </c>
      <c r="AA28" s="13">
        <f t="shared" si="93"/>
        <v>8646.244197909793</v>
      </c>
      <c r="AB28" s="13">
        <f t="shared" si="94"/>
        <v>4123.1149526816989</v>
      </c>
      <c r="AC28" s="13">
        <f t="shared" si="95"/>
        <v>4591.2627391677852</v>
      </c>
      <c r="AD28" s="13">
        <f t="shared" si="96"/>
        <v>47616902.658755779</v>
      </c>
      <c r="AE28" s="13">
        <f t="shared" si="97"/>
        <v>32977654.560261682</v>
      </c>
      <c r="AF28" s="13">
        <f t="shared" si="98"/>
        <v>18514534.090712197</v>
      </c>
      <c r="AG28" s="13">
        <f t="shared" si="99"/>
        <v>15463978.711250504</v>
      </c>
      <c r="AH28" s="21">
        <f t="shared" si="0"/>
        <v>0</v>
      </c>
      <c r="AI28" s="21">
        <f t="shared" si="1"/>
        <v>1538.0431258541919</v>
      </c>
      <c r="AJ28" s="21">
        <f t="shared" si="2"/>
        <v>19753.791112469997</v>
      </c>
      <c r="AK28" s="21">
        <f t="shared" si="3"/>
        <v>89399.75348565793</v>
      </c>
      <c r="AL28" s="21">
        <f t="shared" si="4"/>
        <v>154757.82988326962</v>
      </c>
      <c r="AM28" s="21">
        <f t="shared" si="5"/>
        <v>135494.16826895709</v>
      </c>
      <c r="AN28" s="21">
        <f t="shared" si="6"/>
        <v>74697.77807312159</v>
      </c>
      <c r="AO28" s="21">
        <f t="shared" si="7"/>
        <v>37433.98651142633</v>
      </c>
      <c r="AP28" s="21">
        <f t="shared" si="8"/>
        <v>18033.484703597034</v>
      </c>
      <c r="AQ28" s="21">
        <f t="shared" si="9"/>
        <v>8620.3054653160652</v>
      </c>
      <c r="AR28" s="21">
        <f t="shared" si="10"/>
        <v>4123.1149526816989</v>
      </c>
      <c r="AS28" s="21">
        <f t="shared" si="11"/>
        <v>4591.2627391677852</v>
      </c>
      <c r="AT28" s="21">
        <f t="shared" si="12"/>
        <v>0</v>
      </c>
      <c r="AU28" s="21">
        <f t="shared" si="13"/>
        <v>16488827.280130841</v>
      </c>
      <c r="AV28" s="21">
        <f t="shared" si="14"/>
        <v>18514534.090712197</v>
      </c>
      <c r="AW28" s="21">
        <f t="shared" si="15"/>
        <v>15463978.711250504</v>
      </c>
      <c r="AX28" s="13">
        <f t="shared" si="100"/>
        <v>0.2</v>
      </c>
      <c r="AY28" s="13">
        <f t="shared" si="124"/>
        <v>0.6</v>
      </c>
      <c r="AZ28" s="13">
        <f t="shared" si="125"/>
        <v>1.2658</v>
      </c>
      <c r="BA28" s="13">
        <f t="shared" si="126"/>
        <v>2.1566455518278618</v>
      </c>
      <c r="BB28" s="13">
        <f t="shared" si="127"/>
        <v>3.3190774000614871</v>
      </c>
      <c r="BC28" s="13">
        <f t="shared" si="128"/>
        <v>4.8257188639073503</v>
      </c>
      <c r="BD28" s="13">
        <f t="shared" si="129"/>
        <v>6.7428032560328086</v>
      </c>
      <c r="BE28" s="13">
        <f t="shared" si="130"/>
        <v>9.1477816709409598</v>
      </c>
      <c r="BF28" s="13">
        <f t="shared" si="131"/>
        <v>11.10189428083884</v>
      </c>
      <c r="BG28" s="13">
        <f t="shared" si="132"/>
        <v>13.30441809486431</v>
      </c>
      <c r="BH28" s="13">
        <f t="shared" si="133"/>
        <v>15.187643864361569</v>
      </c>
      <c r="BI28" s="13">
        <f t="shared" si="134"/>
        <v>16.898025015902395</v>
      </c>
      <c r="BJ28" s="13">
        <f t="shared" si="16"/>
        <v>4.0000000000000001E-3</v>
      </c>
      <c r="BK28" s="13">
        <f t="shared" si="17"/>
        <v>0.01</v>
      </c>
      <c r="BL28" s="13">
        <f t="shared" si="18"/>
        <v>0.02</v>
      </c>
      <c r="BM28" s="13">
        <f t="shared" si="19"/>
        <v>0.03</v>
      </c>
      <c r="BN28" s="30">
        <f t="shared" si="102"/>
        <v>4693872.9268995132</v>
      </c>
      <c r="BO28" s="30">
        <f t="shared" si="103"/>
        <v>1354454.199389399</v>
      </c>
      <c r="BP28" s="30">
        <f t="shared" si="104"/>
        <v>2687448.7545020883</v>
      </c>
      <c r="BQ28" s="30">
        <f t="shared" si="105"/>
        <v>999098.3159530675</v>
      </c>
      <c r="BR28" s="36">
        <f t="shared" si="20"/>
        <v>0.3</v>
      </c>
      <c r="BS28" s="36">
        <f t="shared" si="21"/>
        <v>0.25</v>
      </c>
      <c r="BT28" s="36">
        <f t="shared" si="22"/>
        <v>0.2</v>
      </c>
      <c r="BU28" s="36">
        <f t="shared" si="23"/>
        <v>0.2</v>
      </c>
      <c r="BV28" s="36">
        <f t="shared" si="24"/>
        <v>0.2</v>
      </c>
      <c r="BW28" s="36">
        <f t="shared" si="25"/>
        <v>0.2</v>
      </c>
      <c r="BX28" s="36">
        <f t="shared" si="26"/>
        <v>0.2</v>
      </c>
      <c r="BY28" s="36">
        <f t="shared" si="27"/>
        <v>0.2</v>
      </c>
      <c r="BZ28" s="36">
        <f t="shared" si="28"/>
        <v>0.2</v>
      </c>
      <c r="CA28" s="36">
        <f t="shared" si="29"/>
        <v>0.2</v>
      </c>
      <c r="CB28" s="36">
        <f t="shared" si="30"/>
        <v>0.2</v>
      </c>
      <c r="CC28" s="36">
        <f t="shared" si="31"/>
        <v>0.2</v>
      </c>
      <c r="CD28" s="35">
        <f t="shared" si="32"/>
        <v>0.36734907802451311</v>
      </c>
      <c r="CE28" s="35">
        <f t="shared" si="33"/>
        <v>0.36734907802451311</v>
      </c>
      <c r="CF28" s="35">
        <f t="shared" si="34"/>
        <v>0.36734907802451311</v>
      </c>
      <c r="CG28" s="35">
        <f t="shared" si="35"/>
        <v>0.36734907802451311</v>
      </c>
      <c r="CH28" s="28">
        <f t="shared" si="36"/>
        <v>0</v>
      </c>
      <c r="CI28" s="28">
        <f t="shared" si="37"/>
        <v>0</v>
      </c>
      <c r="CJ28" s="28">
        <f t="shared" si="38"/>
        <v>15769.52609978263</v>
      </c>
      <c r="CK28" s="28">
        <f t="shared" si="39"/>
        <v>23887.267499336216</v>
      </c>
      <c r="CL28" s="28">
        <f t="shared" si="40"/>
        <v>32523.214380406425</v>
      </c>
      <c r="CM28" s="28">
        <f t="shared" si="41"/>
        <v>31773.152512819699</v>
      </c>
      <c r="CN28" s="28">
        <f t="shared" si="42"/>
        <v>22669.55571237181</v>
      </c>
      <c r="CO28" s="28">
        <f t="shared" si="43"/>
        <v>15649.385189779256</v>
      </c>
      <c r="CP28" s="28">
        <f t="shared" si="44"/>
        <v>9598.3184582536778</v>
      </c>
      <c r="CQ28" s="28">
        <f t="shared" si="45"/>
        <v>5788.2533520810121</v>
      </c>
      <c r="CR28" s="28">
        <f t="shared" si="46"/>
        <v>3304.4506317410696</v>
      </c>
      <c r="CS28" s="28">
        <f t="shared" si="47"/>
        <v>4273.2937370718137</v>
      </c>
      <c r="CT28" s="44">
        <f t="shared" si="106"/>
        <v>0</v>
      </c>
      <c r="CU28" s="44">
        <f t="shared" si="107"/>
        <v>0</v>
      </c>
      <c r="CV28" s="44">
        <f t="shared" si="108"/>
        <v>3.9495029079141972E-2</v>
      </c>
      <c r="CW28" s="44">
        <f t="shared" si="109"/>
        <v>7.3071108074294983E-2</v>
      </c>
      <c r="CX28" s="44">
        <f t="shared" si="110"/>
        <v>0.12151414192458275</v>
      </c>
      <c r="CY28" s="44">
        <f t="shared" si="111"/>
        <v>0.18999299341816342</v>
      </c>
      <c r="CZ28" s="44">
        <f t="shared" si="112"/>
        <v>0.28428433318524116</v>
      </c>
      <c r="DA28" s="44">
        <f t="shared" si="113"/>
        <v>0.41156204105349525</v>
      </c>
      <c r="DB28" s="44">
        <f t="shared" si="114"/>
        <v>0.52936443652583065</v>
      </c>
      <c r="DC28" s="44">
        <f t="shared" si="115"/>
        <v>0.66945291152895114</v>
      </c>
      <c r="DD28" s="44">
        <f t="shared" si="116"/>
        <v>0.80144518638555906</v>
      </c>
      <c r="DE28" s="44">
        <f t="shared" si="117"/>
        <v>0.93074476017601926</v>
      </c>
      <c r="DF28" s="21">
        <f t="shared" si="49"/>
        <v>0</v>
      </c>
      <c r="DG28" s="21">
        <f t="shared" si="50"/>
        <v>0</v>
      </c>
      <c r="DH28" s="21">
        <f t="shared" si="51"/>
        <v>0</v>
      </c>
      <c r="DI28" s="21">
        <f t="shared" si="52"/>
        <v>0</v>
      </c>
      <c r="DJ28" s="21">
        <f t="shared" si="118"/>
        <v>57715.113801261075</v>
      </c>
      <c r="DK28" s="21">
        <f t="shared" si="53"/>
        <v>63865.325137536573</v>
      </c>
      <c r="DL28" s="21">
        <f t="shared" si="54"/>
        <v>30453.168647341841</v>
      </c>
      <c r="DM28" s="21">
        <f t="shared" si="55"/>
        <v>14521.262404059804</v>
      </c>
      <c r="DN28" s="21">
        <f t="shared" si="56"/>
        <v>6924.4103855985668</v>
      </c>
      <c r="DO28" s="21">
        <f t="shared" si="57"/>
        <v>3301.9455142596316</v>
      </c>
      <c r="DP28" s="21">
        <f t="shared" si="58"/>
        <v>1574.5913035946141</v>
      </c>
      <c r="DQ28" s="21">
        <f t="shared" si="59"/>
        <v>1753.3739574516499</v>
      </c>
      <c r="DR28" s="21">
        <f t="shared" si="60"/>
        <v>0</v>
      </c>
      <c r="DS28" s="21">
        <f t="shared" si="61"/>
        <v>5259100.59861081</v>
      </c>
      <c r="DT28" s="21">
        <f t="shared" si="62"/>
        <v>5380164.9086164562</v>
      </c>
      <c r="DU28" s="21">
        <f t="shared" si="63"/>
        <v>4493699.6633146983</v>
      </c>
      <c r="DV28" s="13">
        <f t="shared" si="64"/>
        <v>0</v>
      </c>
      <c r="DW28" s="13">
        <f t="shared" si="65"/>
        <v>0</v>
      </c>
      <c r="DX28" s="13">
        <f t="shared" si="66"/>
        <v>0</v>
      </c>
      <c r="DY28" s="13">
        <f t="shared" si="67"/>
        <v>0</v>
      </c>
      <c r="DZ28" s="13">
        <f t="shared" si="68"/>
        <v>191560.92985974246</v>
      </c>
      <c r="EA28" s="13">
        <f t="shared" si="119"/>
        <v>308196.10426578653</v>
      </c>
      <c r="EB28" s="13">
        <f t="shared" si="69"/>
        <v>205339.7247118128</v>
      </c>
      <c r="EC28" s="13">
        <f t="shared" si="70"/>
        <v>132837.33805878233</v>
      </c>
      <c r="ED28" s="13">
        <f t="shared" si="71"/>
        <v>76874.072058057791</v>
      </c>
      <c r="EE28" s="13">
        <f t="shared" si="72"/>
        <v>43930.463648171884</v>
      </c>
      <c r="EF28" s="13">
        <f t="shared" si="73"/>
        <v>23914.331950915825</v>
      </c>
      <c r="EG28" s="13">
        <f t="shared" si="74"/>
        <v>29628.556995249761</v>
      </c>
      <c r="EH28" s="13">
        <f t="shared" si="75"/>
        <v>0</v>
      </c>
      <c r="EI28" s="13">
        <f t="shared" si="76"/>
        <v>52591.005986108103</v>
      </c>
      <c r="EJ28" s="13">
        <f t="shared" si="77"/>
        <v>107603.29817232913</v>
      </c>
      <c r="EK28" s="13">
        <f t="shared" si="78"/>
        <v>134810.98989944093</v>
      </c>
      <c r="EL28" s="21">
        <f t="shared" si="120"/>
        <v>1012281.5215485194</v>
      </c>
      <c r="EM28" s="21">
        <f t="shared" si="121"/>
        <v>295005.2940578782</v>
      </c>
      <c r="EN28" s="21">
        <f t="shared" si="79"/>
        <v>15184222823.227791</v>
      </c>
      <c r="EO28" s="21">
        <f t="shared" si="80"/>
        <v>6637619116.3022594</v>
      </c>
      <c r="EP28" s="21">
        <f t="shared" si="81"/>
        <v>12931686393.364532</v>
      </c>
      <c r="EQ28" s="21">
        <f t="shared" si="82"/>
        <v>4538543171.8854313</v>
      </c>
      <c r="ER28" s="21">
        <f t="shared" si="83"/>
        <v>3704990183.1905894</v>
      </c>
      <c r="ES28" s="21">
        <f t="shared" si="84"/>
        <v>1300314389.5022383</v>
      </c>
    </row>
    <row r="29" spans="1:149" x14ac:dyDescent="0.25">
      <c r="A29" s="20" t="s">
        <v>7</v>
      </c>
      <c r="B29" s="20">
        <v>50000</v>
      </c>
      <c r="O29" s="3">
        <v>27</v>
      </c>
      <c r="P29" s="21">
        <f t="shared" si="122"/>
        <v>450507.28597265156</v>
      </c>
      <c r="Q29" s="21">
        <f t="shared" si="123"/>
        <v>419815.18888336571</v>
      </c>
      <c r="R29" s="13">
        <f t="shared" si="135"/>
        <v>692041.7747315634</v>
      </c>
      <c r="S29" s="13">
        <f t="shared" si="85"/>
        <v>512678.80151158775</v>
      </c>
      <c r="T29" s="13">
        <f t="shared" si="86"/>
        <v>399276.39693761198</v>
      </c>
      <c r="U29" s="13">
        <f t="shared" si="87"/>
        <v>326901.79702074075</v>
      </c>
      <c r="V29" s="13">
        <f t="shared" si="88"/>
        <v>267646.69407807436</v>
      </c>
      <c r="W29" s="13">
        <f t="shared" si="89"/>
        <v>167230.71399637769</v>
      </c>
      <c r="X29" s="13">
        <f t="shared" si="90"/>
        <v>79740.771226842582</v>
      </c>
      <c r="Y29" s="13">
        <f t="shared" si="91"/>
        <v>38023.123643551036</v>
      </c>
      <c r="Z29" s="13">
        <f t="shared" si="92"/>
        <v>18130.913148777046</v>
      </c>
      <c r="AA29" s="13">
        <f t="shared" si="93"/>
        <v>8645.6590215378037</v>
      </c>
      <c r="AB29" s="13">
        <f t="shared" si="94"/>
        <v>4122.7329742555894</v>
      </c>
      <c r="AC29" s="13">
        <f t="shared" si="95"/>
        <v>4590.4980906168494</v>
      </c>
      <c r="AD29" s="13">
        <f t="shared" si="96"/>
        <v>47617001.226687849</v>
      </c>
      <c r="AE29" s="13">
        <f t="shared" si="97"/>
        <v>32977935.547027975</v>
      </c>
      <c r="AF29" s="13">
        <f t="shared" si="98"/>
        <v>18514857.633862317</v>
      </c>
      <c r="AG29" s="13">
        <f t="shared" si="99"/>
        <v>15464763.006523065</v>
      </c>
      <c r="AH29" s="21">
        <f t="shared" si="0"/>
        <v>0</v>
      </c>
      <c r="AI29" s="21">
        <f t="shared" si="1"/>
        <v>1538.0364045347633</v>
      </c>
      <c r="AJ29" s="21">
        <f t="shared" si="2"/>
        <v>19753.674374808175</v>
      </c>
      <c r="AK29" s="21">
        <f t="shared" si="3"/>
        <v>89399.038806303608</v>
      </c>
      <c r="AL29" s="21">
        <f t="shared" si="4"/>
        <v>154756.13584956451</v>
      </c>
      <c r="AM29" s="21">
        <f t="shared" si="5"/>
        <v>135492.08480317041</v>
      </c>
      <c r="AN29" s="21">
        <f t="shared" si="6"/>
        <v>74696.118226070757</v>
      </c>
      <c r="AO29" s="21">
        <f t="shared" si="7"/>
        <v>37432.764618559057</v>
      </c>
      <c r="AP29" s="21">
        <f t="shared" si="8"/>
        <v>18032.624514338939</v>
      </c>
      <c r="AQ29" s="21">
        <f t="shared" si="9"/>
        <v>8619.722044473192</v>
      </c>
      <c r="AR29" s="21">
        <f t="shared" si="10"/>
        <v>4122.7329742555894</v>
      </c>
      <c r="AS29" s="21">
        <f t="shared" si="11"/>
        <v>4590.4980906168494</v>
      </c>
      <c r="AT29" s="21">
        <f t="shared" si="12"/>
        <v>0</v>
      </c>
      <c r="AU29" s="21">
        <f t="shared" si="13"/>
        <v>16488967.773513988</v>
      </c>
      <c r="AV29" s="21">
        <f t="shared" si="14"/>
        <v>18514857.633862317</v>
      </c>
      <c r="AW29" s="21">
        <f t="shared" si="15"/>
        <v>15464763.006523065</v>
      </c>
      <c r="AX29" s="13">
        <f t="shared" si="100"/>
        <v>0.2</v>
      </c>
      <c r="AY29" s="13">
        <f t="shared" si="124"/>
        <v>0.6</v>
      </c>
      <c r="AZ29" s="13">
        <f t="shared" si="125"/>
        <v>1.2658</v>
      </c>
      <c r="BA29" s="13">
        <f t="shared" si="126"/>
        <v>2.1566465203553995</v>
      </c>
      <c r="BB29" s="13">
        <f t="shared" si="127"/>
        <v>3.3190803499146675</v>
      </c>
      <c r="BC29" s="13">
        <f t="shared" si="128"/>
        <v>4.825725319539254</v>
      </c>
      <c r="BD29" s="13">
        <f t="shared" si="129"/>
        <v>6.7428154306822501</v>
      </c>
      <c r="BE29" s="13">
        <f t="shared" si="130"/>
        <v>9.1478026759706097</v>
      </c>
      <c r="BF29" s="13">
        <f t="shared" si="131"/>
        <v>11.101928385309684</v>
      </c>
      <c r="BG29" s="13">
        <f t="shared" si="132"/>
        <v>13.30447183362288</v>
      </c>
      <c r="BH29" s="13">
        <f t="shared" si="133"/>
        <v>15.187726613899443</v>
      </c>
      <c r="BI29" s="13">
        <f t="shared" si="134"/>
        <v>16.898149679596514</v>
      </c>
      <c r="BJ29" s="13">
        <f t="shared" si="16"/>
        <v>4.0000000000000001E-3</v>
      </c>
      <c r="BK29" s="13">
        <f t="shared" si="17"/>
        <v>0.01</v>
      </c>
      <c r="BL29" s="13">
        <f t="shared" si="18"/>
        <v>0.02</v>
      </c>
      <c r="BM29" s="13">
        <f t="shared" si="19"/>
        <v>0.03</v>
      </c>
      <c r="BN29" s="30">
        <f t="shared" si="102"/>
        <v>4693786.9222362004</v>
      </c>
      <c r="BO29" s="30">
        <f t="shared" si="103"/>
        <v>1354487.4032499695</v>
      </c>
      <c r="BP29" s="30">
        <f t="shared" si="104"/>
        <v>2687378.0857893368</v>
      </c>
      <c r="BQ29" s="30">
        <f t="shared" si="105"/>
        <v>999129.72060807818</v>
      </c>
      <c r="BR29" s="36">
        <f t="shared" si="20"/>
        <v>0.3</v>
      </c>
      <c r="BS29" s="36">
        <f t="shared" si="21"/>
        <v>0.25</v>
      </c>
      <c r="BT29" s="36">
        <f t="shared" si="22"/>
        <v>0.2</v>
      </c>
      <c r="BU29" s="36">
        <f t="shared" si="23"/>
        <v>0.2</v>
      </c>
      <c r="BV29" s="36">
        <f t="shared" si="24"/>
        <v>0.2</v>
      </c>
      <c r="BW29" s="36">
        <f t="shared" si="25"/>
        <v>0.2</v>
      </c>
      <c r="BX29" s="36">
        <f t="shared" si="26"/>
        <v>0.2</v>
      </c>
      <c r="BY29" s="36">
        <f t="shared" si="27"/>
        <v>0.2</v>
      </c>
      <c r="BZ29" s="36">
        <f t="shared" si="28"/>
        <v>0.2</v>
      </c>
      <c r="CA29" s="36">
        <f t="shared" si="29"/>
        <v>0.2</v>
      </c>
      <c r="CB29" s="36">
        <f t="shared" si="30"/>
        <v>0.2</v>
      </c>
      <c r="CC29" s="36">
        <f t="shared" si="31"/>
        <v>0.2</v>
      </c>
      <c r="CD29" s="35">
        <f t="shared" si="32"/>
        <v>0.36734501605036074</v>
      </c>
      <c r="CE29" s="35">
        <f t="shared" si="33"/>
        <v>0.36734501605036074</v>
      </c>
      <c r="CF29" s="35">
        <f t="shared" si="34"/>
        <v>0.36734501605036074</v>
      </c>
      <c r="CG29" s="35">
        <f t="shared" si="35"/>
        <v>0.36734501605036074</v>
      </c>
      <c r="CH29" s="28">
        <f t="shared" si="36"/>
        <v>0</v>
      </c>
      <c r="CI29" s="28">
        <f t="shared" si="37"/>
        <v>0</v>
      </c>
      <c r="CJ29" s="28">
        <f t="shared" si="38"/>
        <v>15769.832421002855</v>
      </c>
      <c r="CK29" s="28">
        <f t="shared" si="39"/>
        <v>23887.681710921621</v>
      </c>
      <c r="CL29" s="28">
        <f t="shared" si="40"/>
        <v>32523.682325646208</v>
      </c>
      <c r="CM29" s="28">
        <f t="shared" si="41"/>
        <v>31773.468893500041</v>
      </c>
      <c r="CN29" s="28">
        <f t="shared" si="42"/>
        <v>22669.626288790503</v>
      </c>
      <c r="CO29" s="28">
        <f t="shared" si="43"/>
        <v>15649.270832995768</v>
      </c>
      <c r="CP29" s="28">
        <f t="shared" si="44"/>
        <v>9598.1037813071725</v>
      </c>
      <c r="CQ29" s="28">
        <f t="shared" si="45"/>
        <v>5788.0082376033679</v>
      </c>
      <c r="CR29" s="28">
        <f t="shared" si="46"/>
        <v>3304.2282063718308</v>
      </c>
      <c r="CS29" s="28">
        <f t="shared" si="47"/>
        <v>4272.6902888844261</v>
      </c>
      <c r="CT29" s="44">
        <f t="shared" si="106"/>
        <v>0</v>
      </c>
      <c r="CU29" s="44">
        <f t="shared" si="107"/>
        <v>0</v>
      </c>
      <c r="CV29" s="44">
        <f t="shared" si="108"/>
        <v>3.9496029672565228E-2</v>
      </c>
      <c r="CW29" s="44">
        <f t="shared" si="109"/>
        <v>7.307295930651013E-2</v>
      </c>
      <c r="CX29" s="44">
        <f t="shared" si="110"/>
        <v>0.12151722044494534</v>
      </c>
      <c r="CY29" s="44">
        <f t="shared" si="111"/>
        <v>0.18999780682744841</v>
      </c>
      <c r="CZ29" s="44">
        <f t="shared" si="112"/>
        <v>0.28429153543425206</v>
      </c>
      <c r="DA29" s="44">
        <f t="shared" si="113"/>
        <v>0.41157246784089457</v>
      </c>
      <c r="DB29" s="44">
        <f t="shared" si="114"/>
        <v>0.52937784779773089</v>
      </c>
      <c r="DC29" s="44">
        <f t="shared" si="115"/>
        <v>0.66946987189576379</v>
      </c>
      <c r="DD29" s="44">
        <f t="shared" si="116"/>
        <v>0.80146549073274631</v>
      </c>
      <c r="DE29" s="44">
        <f t="shared" si="117"/>
        <v>0.93076834028489541</v>
      </c>
      <c r="DF29" s="21">
        <f t="shared" si="49"/>
        <v>0</v>
      </c>
      <c r="DG29" s="21">
        <f t="shared" si="50"/>
        <v>0</v>
      </c>
      <c r="DH29" s="21">
        <f t="shared" si="51"/>
        <v>0</v>
      </c>
      <c r="DI29" s="21">
        <f t="shared" si="52"/>
        <v>0</v>
      </c>
      <c r="DJ29" s="21">
        <f t="shared" si="118"/>
        <v>57714.482031300569</v>
      </c>
      <c r="DK29" s="21">
        <f t="shared" si="53"/>
        <v>63864.343093648044</v>
      </c>
      <c r="DL29" s="21">
        <f t="shared" si="54"/>
        <v>30452.491952485962</v>
      </c>
      <c r="DM29" s="21">
        <f t="shared" si="55"/>
        <v>14520.78841161046</v>
      </c>
      <c r="DN29" s="21">
        <f t="shared" si="56"/>
        <v>6924.0800942804863</v>
      </c>
      <c r="DO29" s="21">
        <f t="shared" si="57"/>
        <v>3301.7220391353685</v>
      </c>
      <c r="DP29" s="21">
        <f t="shared" si="58"/>
        <v>1574.445428469905</v>
      </c>
      <c r="DQ29" s="21">
        <f t="shared" si="59"/>
        <v>1753.081943046903</v>
      </c>
      <c r="DR29" s="21">
        <f t="shared" si="60"/>
        <v>0</v>
      </c>
      <c r="DS29" s="21">
        <f t="shared" si="61"/>
        <v>5259155.0681761848</v>
      </c>
      <c r="DT29" s="21">
        <f t="shared" si="62"/>
        <v>5380268.4357323861</v>
      </c>
      <c r="DU29" s="21">
        <f t="shared" si="63"/>
        <v>4493935.5146810776</v>
      </c>
      <c r="DV29" s="13">
        <f t="shared" si="64"/>
        <v>0</v>
      </c>
      <c r="DW29" s="13">
        <f t="shared" si="65"/>
        <v>0</v>
      </c>
      <c r="DX29" s="13">
        <f t="shared" si="66"/>
        <v>0</v>
      </c>
      <c r="DY29" s="13">
        <f t="shared" si="67"/>
        <v>0</v>
      </c>
      <c r="DZ29" s="13">
        <f t="shared" si="68"/>
        <v>191559.00321559288</v>
      </c>
      <c r="EA29" s="13">
        <f t="shared" si="119"/>
        <v>308191.77748275927</v>
      </c>
      <c r="EB29" s="13">
        <f t="shared" si="69"/>
        <v>205335.53263994938</v>
      </c>
      <c r="EC29" s="13">
        <f t="shared" si="70"/>
        <v>132833.30708893319</v>
      </c>
      <c r="ED29" s="13">
        <f t="shared" si="71"/>
        <v>76870.641340850285</v>
      </c>
      <c r="EE29" s="13">
        <f t="shared" si="72"/>
        <v>43927.667872128412</v>
      </c>
      <c r="EF29" s="13">
        <f t="shared" si="73"/>
        <v>23912.246736104687</v>
      </c>
      <c r="EG29" s="13">
        <f t="shared" si="74"/>
        <v>29623.841074204458</v>
      </c>
      <c r="EH29" s="13">
        <f t="shared" si="75"/>
        <v>0</v>
      </c>
      <c r="EI29" s="13">
        <f t="shared" si="76"/>
        <v>52591.550681761852</v>
      </c>
      <c r="EJ29" s="13">
        <f t="shared" si="77"/>
        <v>107605.36871464772</v>
      </c>
      <c r="EK29" s="13">
        <f t="shared" si="78"/>
        <v>134818.06544043231</v>
      </c>
      <c r="EL29" s="21">
        <f t="shared" si="120"/>
        <v>1012254.0174505225</v>
      </c>
      <c r="EM29" s="21">
        <f t="shared" si="121"/>
        <v>295014.98483684188</v>
      </c>
      <c r="EN29" s="21">
        <f t="shared" si="79"/>
        <v>15183810261.757837</v>
      </c>
      <c r="EO29" s="21">
        <f t="shared" si="80"/>
        <v>6637837158.8289423</v>
      </c>
      <c r="EP29" s="21">
        <f t="shared" si="81"/>
        <v>12931273831.894579</v>
      </c>
      <c r="EQ29" s="21">
        <f t="shared" si="82"/>
        <v>4538761214.4121132</v>
      </c>
      <c r="ER29" s="21">
        <f t="shared" si="83"/>
        <v>3524183243.6200361</v>
      </c>
      <c r="ES29" s="21">
        <f t="shared" si="84"/>
        <v>1236956731.9169657</v>
      </c>
    </row>
    <row r="30" spans="1:149" x14ac:dyDescent="0.25">
      <c r="A30" s="17" t="s">
        <v>15</v>
      </c>
      <c r="B30" s="18">
        <v>3</v>
      </c>
      <c r="C30" s="18">
        <v>4</v>
      </c>
      <c r="D30" s="18">
        <v>5</v>
      </c>
      <c r="E30" s="18">
        <v>6</v>
      </c>
      <c r="F30" s="23">
        <v>7</v>
      </c>
      <c r="G30" s="23">
        <v>8</v>
      </c>
      <c r="H30" s="23">
        <v>9</v>
      </c>
      <c r="I30" s="23">
        <v>10</v>
      </c>
      <c r="J30" s="23">
        <v>11</v>
      </c>
      <c r="K30" s="23">
        <v>12</v>
      </c>
      <c r="L30" s="23">
        <v>13</v>
      </c>
      <c r="M30" s="23">
        <v>14</v>
      </c>
      <c r="O30" s="3">
        <v>28</v>
      </c>
      <c r="P30" s="21">
        <f t="shared" si="122"/>
        <v>450507.28597265156</v>
      </c>
      <c r="Q30" s="21">
        <f t="shared" si="123"/>
        <v>419815.18888336571</v>
      </c>
      <c r="R30" s="13">
        <f t="shared" si="135"/>
        <v>692040.16157332552</v>
      </c>
      <c r="S30" s="13">
        <f t="shared" si="85"/>
        <v>512677.15619405505</v>
      </c>
      <c r="T30" s="13">
        <f t="shared" si="86"/>
        <v>399274.65208133392</v>
      </c>
      <c r="U30" s="13">
        <f t="shared" si="87"/>
        <v>326899.86515099427</v>
      </c>
      <c r="V30" s="13">
        <f t="shared" si="88"/>
        <v>267644.55445733661</v>
      </c>
      <c r="W30" s="13">
        <f t="shared" si="89"/>
        <v>167228.88343009065</v>
      </c>
      <c r="X30" s="13">
        <f t="shared" si="90"/>
        <v>79739.545069504762</v>
      </c>
      <c r="Y30" s="13">
        <f t="shared" si="91"/>
        <v>38022.278737969216</v>
      </c>
      <c r="Z30" s="13">
        <f t="shared" si="92"/>
        <v>18130.321332742522</v>
      </c>
      <c r="AA30" s="13">
        <f t="shared" si="93"/>
        <v>8645.2466274197668</v>
      </c>
      <c r="AB30" s="13">
        <f t="shared" si="94"/>
        <v>4122.4539483722883</v>
      </c>
      <c r="AC30" s="13">
        <f t="shared" si="95"/>
        <v>4589.9110263725997</v>
      </c>
      <c r="AD30" s="13">
        <f t="shared" si="96"/>
        <v>47617072.559386656</v>
      </c>
      <c r="AE30" s="13">
        <f t="shared" si="97"/>
        <v>32978137.768079188</v>
      </c>
      <c r="AF30" s="13">
        <f t="shared" si="98"/>
        <v>18515090.597744368</v>
      </c>
      <c r="AG30" s="13">
        <f t="shared" si="99"/>
        <v>15465330.040660862</v>
      </c>
      <c r="AH30" s="21">
        <f t="shared" si="0"/>
        <v>0</v>
      </c>
      <c r="AI30" s="21">
        <f t="shared" si="1"/>
        <v>1538.0314685821652</v>
      </c>
      <c r="AJ30" s="21">
        <f t="shared" si="2"/>
        <v>19753.58805033968</v>
      </c>
      <c r="AK30" s="21">
        <f t="shared" si="3"/>
        <v>89398.510490766625</v>
      </c>
      <c r="AL30" s="21">
        <f t="shared" si="4"/>
        <v>154754.89869833161</v>
      </c>
      <c r="AM30" s="21">
        <f t="shared" si="5"/>
        <v>135490.60165909553</v>
      </c>
      <c r="AN30" s="21">
        <f t="shared" si="6"/>
        <v>74694.969639318195</v>
      </c>
      <c r="AO30" s="21">
        <f t="shared" si="7"/>
        <v>37431.932831248116</v>
      </c>
      <c r="AP30" s="21">
        <f t="shared" si="8"/>
        <v>18032.035906570287</v>
      </c>
      <c r="AQ30" s="21">
        <f t="shared" si="9"/>
        <v>8619.3108875375092</v>
      </c>
      <c r="AR30" s="21">
        <f t="shared" si="10"/>
        <v>4122.4539483722883</v>
      </c>
      <c r="AS30" s="21">
        <f t="shared" si="11"/>
        <v>4589.9110263725997</v>
      </c>
      <c r="AT30" s="21">
        <f t="shared" si="12"/>
        <v>0</v>
      </c>
      <c r="AU30" s="21">
        <f t="shared" si="13"/>
        <v>16489068.884039594</v>
      </c>
      <c r="AV30" s="21">
        <f t="shared" si="14"/>
        <v>18515090.597744368</v>
      </c>
      <c r="AW30" s="21">
        <f t="shared" si="15"/>
        <v>15465330.040660862</v>
      </c>
      <c r="AX30" s="13">
        <f t="shared" si="100"/>
        <v>0.2</v>
      </c>
      <c r="AY30" s="13">
        <f t="shared" si="124"/>
        <v>0.6</v>
      </c>
      <c r="AZ30" s="13">
        <f t="shared" si="125"/>
        <v>1.2658</v>
      </c>
      <c r="BA30" s="13">
        <f t="shared" si="126"/>
        <v>2.1566472207707958</v>
      </c>
      <c r="BB30" s="13">
        <f t="shared" si="127"/>
        <v>3.3190824847185008</v>
      </c>
      <c r="BC30" s="13">
        <f t="shared" si="128"/>
        <v>4.8257299933638373</v>
      </c>
      <c r="BD30" s="13">
        <f t="shared" si="129"/>
        <v>6.7428242448847033</v>
      </c>
      <c r="BE30" s="13">
        <f t="shared" si="130"/>
        <v>9.1478178755646358</v>
      </c>
      <c r="BF30" s="13">
        <f t="shared" si="131"/>
        <v>11.101953039714923</v>
      </c>
      <c r="BG30" s="13">
        <f t="shared" si="132"/>
        <v>13.304510632038889</v>
      </c>
      <c r="BH30" s="13">
        <f t="shared" si="133"/>
        <v>15.187786288786397</v>
      </c>
      <c r="BI30" s="13">
        <f t="shared" si="134"/>
        <v>16.898239535655904</v>
      </c>
      <c r="BJ30" s="13">
        <f t="shared" si="16"/>
        <v>4.0000000000000001E-3</v>
      </c>
      <c r="BK30" s="13">
        <f t="shared" si="17"/>
        <v>0.01</v>
      </c>
      <c r="BL30" s="13">
        <f t="shared" si="18"/>
        <v>0.02</v>
      </c>
      <c r="BM30" s="13">
        <f t="shared" si="19"/>
        <v>0.03</v>
      </c>
      <c r="BN30" s="30">
        <f t="shared" si="102"/>
        <v>4693725.3937448738</v>
      </c>
      <c r="BO30" s="30">
        <f t="shared" si="103"/>
        <v>1354511.3810930518</v>
      </c>
      <c r="BP30" s="30">
        <f t="shared" si="104"/>
        <v>2687327.7450045282</v>
      </c>
      <c r="BQ30" s="30">
        <f t="shared" si="105"/>
        <v>999152.4020151092</v>
      </c>
      <c r="BR30" s="36">
        <f t="shared" si="20"/>
        <v>0.3</v>
      </c>
      <c r="BS30" s="36">
        <f t="shared" si="21"/>
        <v>0.25</v>
      </c>
      <c r="BT30" s="36">
        <f t="shared" si="22"/>
        <v>0.2</v>
      </c>
      <c r="BU30" s="36">
        <f t="shared" si="23"/>
        <v>0.2</v>
      </c>
      <c r="BV30" s="36">
        <f t="shared" si="24"/>
        <v>0.2</v>
      </c>
      <c r="BW30" s="36">
        <f t="shared" si="25"/>
        <v>0.2</v>
      </c>
      <c r="BX30" s="36">
        <f t="shared" si="26"/>
        <v>0.2</v>
      </c>
      <c r="BY30" s="36">
        <f t="shared" si="27"/>
        <v>0.2</v>
      </c>
      <c r="BZ30" s="36">
        <f t="shared" si="28"/>
        <v>0.2</v>
      </c>
      <c r="CA30" s="36">
        <f t="shared" si="29"/>
        <v>0.2</v>
      </c>
      <c r="CB30" s="36">
        <f t="shared" si="30"/>
        <v>0.2</v>
      </c>
      <c r="CC30" s="36">
        <f t="shared" si="31"/>
        <v>0.2</v>
      </c>
      <c r="CD30" s="35">
        <f t="shared" si="32"/>
        <v>0.36734210573973392</v>
      </c>
      <c r="CE30" s="35">
        <f t="shared" si="33"/>
        <v>0.36734210573973392</v>
      </c>
      <c r="CF30" s="35">
        <f t="shared" si="34"/>
        <v>0.36734210573973392</v>
      </c>
      <c r="CG30" s="35">
        <f t="shared" si="35"/>
        <v>0.36734210573973392</v>
      </c>
      <c r="CH30" s="28">
        <f t="shared" si="36"/>
        <v>0</v>
      </c>
      <c r="CI30" s="28">
        <f t="shared" si="37"/>
        <v>0</v>
      </c>
      <c r="CJ30" s="28">
        <f t="shared" si="38"/>
        <v>15770.051842898065</v>
      </c>
      <c r="CK30" s="28">
        <f t="shared" si="39"/>
        <v>23887.977306961402</v>
      </c>
      <c r="CL30" s="28">
        <f t="shared" si="40"/>
        <v>32524.016988156232</v>
      </c>
      <c r="CM30" s="28">
        <f t="shared" si="41"/>
        <v>31773.702034571514</v>
      </c>
      <c r="CN30" s="28">
        <f t="shared" si="42"/>
        <v>22669.692191211536</v>
      </c>
      <c r="CO30" s="28">
        <f t="shared" si="43"/>
        <v>15649.209220446141</v>
      </c>
      <c r="CP30" s="28">
        <f t="shared" si="44"/>
        <v>9597.9659744915334</v>
      </c>
      <c r="CQ30" s="28">
        <f t="shared" si="45"/>
        <v>5787.8379759541976</v>
      </c>
      <c r="CR30" s="28">
        <f t="shared" si="46"/>
        <v>3304.0649876851103</v>
      </c>
      <c r="CS30" s="28">
        <f t="shared" si="47"/>
        <v>4272.2219806101994</v>
      </c>
      <c r="CT30" s="44">
        <f t="shared" si="106"/>
        <v>0</v>
      </c>
      <c r="CU30" s="44">
        <f t="shared" si="107"/>
        <v>0</v>
      </c>
      <c r="CV30" s="44">
        <f t="shared" si="108"/>
        <v>3.9496751824069309E-2</v>
      </c>
      <c r="CW30" s="44">
        <f t="shared" si="109"/>
        <v>7.3074295383779381E-2</v>
      </c>
      <c r="CX30" s="44">
        <f t="shared" si="110"/>
        <v>0.12151944228456427</v>
      </c>
      <c r="CY30" s="44">
        <f t="shared" si="111"/>
        <v>0.19000128077668102</v>
      </c>
      <c r="CZ30" s="44">
        <f t="shared" si="112"/>
        <v>0.28429673346457596</v>
      </c>
      <c r="DA30" s="44">
        <f t="shared" si="113"/>
        <v>0.41157999309543675</v>
      </c>
      <c r="DB30" s="44">
        <f t="shared" si="114"/>
        <v>0.52938752702402747</v>
      </c>
      <c r="DC30" s="44">
        <f t="shared" si="115"/>
        <v>0.66948211258625689</v>
      </c>
      <c r="DD30" s="44">
        <f t="shared" si="116"/>
        <v>0.80148014485151231</v>
      </c>
      <c r="DE30" s="44">
        <f t="shared" si="117"/>
        <v>0.93078535859692479</v>
      </c>
      <c r="DF30" s="21">
        <f t="shared" si="49"/>
        <v>0</v>
      </c>
      <c r="DG30" s="21">
        <f t="shared" si="50"/>
        <v>0</v>
      </c>
      <c r="DH30" s="21">
        <f t="shared" si="51"/>
        <v>0</v>
      </c>
      <c r="DI30" s="21">
        <f t="shared" si="52"/>
        <v>0</v>
      </c>
      <c r="DJ30" s="21">
        <f t="shared" si="118"/>
        <v>57714.020650288381</v>
      </c>
      <c r="DK30" s="21">
        <f t="shared" si="53"/>
        <v>63863.644012058197</v>
      </c>
      <c r="DL30" s="21">
        <f t="shared" si="54"/>
        <v>30452.023690818962</v>
      </c>
      <c r="DM30" s="21">
        <f t="shared" si="55"/>
        <v>14520.46574755749</v>
      </c>
      <c r="DN30" s="21">
        <f t="shared" si="56"/>
        <v>6923.8540835114472</v>
      </c>
      <c r="DO30" s="21">
        <f t="shared" si="57"/>
        <v>3301.5645484519005</v>
      </c>
      <c r="DP30" s="21">
        <f t="shared" si="58"/>
        <v>1574.338870264673</v>
      </c>
      <c r="DQ30" s="21">
        <f t="shared" si="59"/>
        <v>1752.857746956264</v>
      </c>
      <c r="DR30" s="21">
        <f t="shared" si="60"/>
        <v>0</v>
      </c>
      <c r="DS30" s="21">
        <f t="shared" si="61"/>
        <v>5259194.2380891908</v>
      </c>
      <c r="DT30" s="21">
        <f t="shared" si="62"/>
        <v>5380342.945701017</v>
      </c>
      <c r="DU30" s="21">
        <f t="shared" si="63"/>
        <v>4494105.980628835</v>
      </c>
      <c r="DV30" s="13">
        <f t="shared" si="64"/>
        <v>0</v>
      </c>
      <c r="DW30" s="13">
        <f t="shared" si="65"/>
        <v>0</v>
      </c>
      <c r="DX30" s="13">
        <f t="shared" si="66"/>
        <v>0</v>
      </c>
      <c r="DY30" s="13">
        <f t="shared" si="67"/>
        <v>0</v>
      </c>
      <c r="DZ30" s="13">
        <f t="shared" si="68"/>
        <v>191557.59506305403</v>
      </c>
      <c r="EA30" s="13">
        <f t="shared" si="119"/>
        <v>308188.70239450008</v>
      </c>
      <c r="EB30" s="13">
        <f t="shared" si="69"/>
        <v>205332.64364825745</v>
      </c>
      <c r="EC30" s="13">
        <f t="shared" si="70"/>
        <v>132830.57612703042</v>
      </c>
      <c r="ED30" s="13">
        <f t="shared" si="71"/>
        <v>76868.302888982493</v>
      </c>
      <c r="EE30" s="13">
        <f t="shared" si="72"/>
        <v>43925.700637240981</v>
      </c>
      <c r="EF30" s="13">
        <f t="shared" si="73"/>
        <v>23910.722307709268</v>
      </c>
      <c r="EG30" s="13">
        <f t="shared" si="74"/>
        <v>29620.210079997072</v>
      </c>
      <c r="EH30" s="13">
        <f t="shared" si="75"/>
        <v>0</v>
      </c>
      <c r="EI30" s="13">
        <f t="shared" si="76"/>
        <v>52591.942380891909</v>
      </c>
      <c r="EJ30" s="13">
        <f t="shared" si="77"/>
        <v>107606.85891402034</v>
      </c>
      <c r="EK30" s="13">
        <f t="shared" si="78"/>
        <v>134823.17941886504</v>
      </c>
      <c r="EL30" s="21">
        <f t="shared" si="120"/>
        <v>1012234.4531467719</v>
      </c>
      <c r="EM30" s="21">
        <f t="shared" si="121"/>
        <v>295021.98071377724</v>
      </c>
      <c r="EN30" s="21">
        <f t="shared" si="79"/>
        <v>15183516797.201578</v>
      </c>
      <c r="EO30" s="21">
        <f t="shared" si="80"/>
        <v>6637994566.059988</v>
      </c>
      <c r="EP30" s="21">
        <f t="shared" si="81"/>
        <v>12930980367.33832</v>
      </c>
      <c r="EQ30" s="21">
        <f t="shared" si="82"/>
        <v>4538918621.6431599</v>
      </c>
      <c r="ER30" s="21">
        <f t="shared" si="83"/>
        <v>3352230720.8356919</v>
      </c>
      <c r="ES30" s="21">
        <f t="shared" si="84"/>
        <v>1176670446.5252633</v>
      </c>
    </row>
    <row r="31" spans="1:149" x14ac:dyDescent="0.25">
      <c r="A31" s="19" t="s">
        <v>13</v>
      </c>
      <c r="B31" s="19">
        <f>IF($B$51=0,B53,B54)</f>
        <v>0</v>
      </c>
      <c r="C31" s="19">
        <f t="shared" ref="C31:M31" si="136">IF($B$51=0,C53,C54)</f>
        <v>0</v>
      </c>
      <c r="D31" s="19">
        <f t="shared" si="136"/>
        <v>0</v>
      </c>
      <c r="E31" s="19">
        <f t="shared" si="136"/>
        <v>0</v>
      </c>
      <c r="F31" s="19">
        <f t="shared" si="136"/>
        <v>5.9999999999999997E-7</v>
      </c>
      <c r="G31" s="19">
        <f t="shared" si="136"/>
        <v>1.1999999999999999E-6</v>
      </c>
      <c r="H31" s="19">
        <f t="shared" si="136"/>
        <v>1.1999999999999999E-6</v>
      </c>
      <c r="I31" s="19">
        <f t="shared" si="136"/>
        <v>1.1999999999999999E-6</v>
      </c>
      <c r="J31" s="19">
        <f t="shared" si="136"/>
        <v>1.1999999999999999E-6</v>
      </c>
      <c r="K31" s="19">
        <f t="shared" si="136"/>
        <v>1.1999999999999999E-6</v>
      </c>
      <c r="L31" s="19">
        <f t="shared" si="136"/>
        <v>1.1999999999999999E-6</v>
      </c>
      <c r="M31" s="19">
        <f t="shared" si="136"/>
        <v>1.1999999999999999E-6</v>
      </c>
      <c r="O31" s="3">
        <v>29</v>
      </c>
      <c r="P31" s="21">
        <f t="shared" si="122"/>
        <v>450507.28597265156</v>
      </c>
      <c r="Q31" s="21">
        <f t="shared" si="123"/>
        <v>419815.18888336571</v>
      </c>
      <c r="R31" s="13">
        <f t="shared" si="135"/>
        <v>692039.00227215758</v>
      </c>
      <c r="S31" s="13">
        <f t="shared" si="85"/>
        <v>512675.96113703959</v>
      </c>
      <c r="T31" s="13">
        <f t="shared" si="86"/>
        <v>399273.37070675101</v>
      </c>
      <c r="U31" s="13">
        <f t="shared" si="87"/>
        <v>326898.43658349972</v>
      </c>
      <c r="V31" s="13">
        <f t="shared" si="88"/>
        <v>267642.97277616424</v>
      </c>
      <c r="W31" s="13">
        <f t="shared" si="89"/>
        <v>167227.54656924066</v>
      </c>
      <c r="X31" s="13">
        <f t="shared" si="90"/>
        <v>79738.672212363512</v>
      </c>
      <c r="Y31" s="13">
        <f t="shared" si="91"/>
        <v>38021.694077257285</v>
      </c>
      <c r="Z31" s="13">
        <f t="shared" si="92"/>
        <v>18129.918461851699</v>
      </c>
      <c r="AA31" s="13">
        <f t="shared" si="93"/>
        <v>8644.9644355889122</v>
      </c>
      <c r="AB31" s="13">
        <f t="shared" si="94"/>
        <v>4122.257309139125</v>
      </c>
      <c r="AC31" s="13">
        <f t="shared" si="95"/>
        <v>4589.4685974140993</v>
      </c>
      <c r="AD31" s="13">
        <f t="shared" si="96"/>
        <v>47617124.075398162</v>
      </c>
      <c r="AE31" s="13">
        <f t="shared" si="97"/>
        <v>32978283.147921417</v>
      </c>
      <c r="AF31" s="13">
        <f t="shared" si="98"/>
        <v>18515258.01755042</v>
      </c>
      <c r="AG31" s="13">
        <f t="shared" si="99"/>
        <v>15465739.158161735</v>
      </c>
      <c r="AH31" s="21">
        <f t="shared" si="0"/>
        <v>0</v>
      </c>
      <c r="AI31" s="21">
        <f t="shared" si="1"/>
        <v>1538.0278834111189</v>
      </c>
      <c r="AJ31" s="21">
        <f t="shared" si="2"/>
        <v>19753.524656018209</v>
      </c>
      <c r="AK31" s="21">
        <f t="shared" si="3"/>
        <v>89398.119815150741</v>
      </c>
      <c r="AL31" s="21">
        <f t="shared" si="4"/>
        <v>154753.98415362847</v>
      </c>
      <c r="AM31" s="21">
        <f t="shared" si="5"/>
        <v>135489.51852036265</v>
      </c>
      <c r="AN31" s="21">
        <f t="shared" si="6"/>
        <v>74694.152001876093</v>
      </c>
      <c r="AO31" s="21">
        <f t="shared" si="7"/>
        <v>37431.357248163025</v>
      </c>
      <c r="AP31" s="21">
        <f t="shared" si="8"/>
        <v>18031.635219663767</v>
      </c>
      <c r="AQ31" s="21">
        <f t="shared" si="9"/>
        <v>8619.0295422821473</v>
      </c>
      <c r="AR31" s="21">
        <f t="shared" si="10"/>
        <v>4122.257309139125</v>
      </c>
      <c r="AS31" s="21">
        <f t="shared" si="11"/>
        <v>4589.4685974140993</v>
      </c>
      <c r="AT31" s="21">
        <f t="shared" si="12"/>
        <v>0</v>
      </c>
      <c r="AU31" s="21">
        <f t="shared" si="13"/>
        <v>16489141.573960708</v>
      </c>
      <c r="AV31" s="21">
        <f t="shared" si="14"/>
        <v>18515258.01755042</v>
      </c>
      <c r="AW31" s="21">
        <f t="shared" si="15"/>
        <v>15465739.158161735</v>
      </c>
      <c r="AX31" s="13">
        <f t="shared" si="100"/>
        <v>0.2</v>
      </c>
      <c r="AY31" s="13">
        <f t="shared" si="124"/>
        <v>0.6</v>
      </c>
      <c r="AZ31" s="13">
        <f t="shared" si="125"/>
        <v>1.2658</v>
      </c>
      <c r="BA31" s="13">
        <f t="shared" si="126"/>
        <v>2.1566477262768484</v>
      </c>
      <c r="BB31" s="13">
        <f t="shared" si="127"/>
        <v>3.3190840268625768</v>
      </c>
      <c r="BC31" s="13">
        <f t="shared" si="128"/>
        <v>4.825733372397857</v>
      </c>
      <c r="BD31" s="13">
        <f t="shared" si="129"/>
        <v>6.7428306209444111</v>
      </c>
      <c r="BE31" s="13">
        <f t="shared" si="130"/>
        <v>9.1478288729398258</v>
      </c>
      <c r="BF31" s="13">
        <f t="shared" si="131"/>
        <v>11.101970873148039</v>
      </c>
      <c r="BG31" s="13">
        <f t="shared" si="132"/>
        <v>13.304538674173333</v>
      </c>
      <c r="BH31" s="13">
        <f t="shared" si="133"/>
        <v>15.187829371444078</v>
      </c>
      <c r="BI31" s="13">
        <f t="shared" si="134"/>
        <v>16.898304339484426</v>
      </c>
      <c r="BJ31" s="13">
        <f t="shared" si="16"/>
        <v>4.0000000000000001E-3</v>
      </c>
      <c r="BK31" s="13">
        <f t="shared" si="17"/>
        <v>0.01</v>
      </c>
      <c r="BL31" s="13">
        <f t="shared" si="18"/>
        <v>0.02</v>
      </c>
      <c r="BM31" s="13">
        <f t="shared" si="19"/>
        <v>0.03</v>
      </c>
      <c r="BN31" s="30">
        <f t="shared" si="102"/>
        <v>4693681.2275284734</v>
      </c>
      <c r="BO31" s="30">
        <f t="shared" si="103"/>
        <v>1354528.6628766672</v>
      </c>
      <c r="BP31" s="30">
        <f t="shared" si="104"/>
        <v>2687291.7926507625</v>
      </c>
      <c r="BQ31" s="30">
        <f t="shared" si="105"/>
        <v>999168.7508354676</v>
      </c>
      <c r="BR31" s="36">
        <f t="shared" si="20"/>
        <v>0.3</v>
      </c>
      <c r="BS31" s="36">
        <f t="shared" si="21"/>
        <v>0.25</v>
      </c>
      <c r="BT31" s="36">
        <f t="shared" si="22"/>
        <v>0.2</v>
      </c>
      <c r="BU31" s="36">
        <f t="shared" si="23"/>
        <v>0.2</v>
      </c>
      <c r="BV31" s="36">
        <f t="shared" si="24"/>
        <v>0.2</v>
      </c>
      <c r="BW31" s="36">
        <f t="shared" si="25"/>
        <v>0.2</v>
      </c>
      <c r="BX31" s="36">
        <f t="shared" si="26"/>
        <v>0.2</v>
      </c>
      <c r="BY31" s="36">
        <f t="shared" si="27"/>
        <v>0.2</v>
      </c>
      <c r="BZ31" s="36">
        <f t="shared" si="28"/>
        <v>0.2</v>
      </c>
      <c r="CA31" s="36">
        <f t="shared" si="29"/>
        <v>0.2</v>
      </c>
      <c r="CB31" s="36">
        <f t="shared" si="30"/>
        <v>0.2</v>
      </c>
      <c r="CC31" s="36">
        <f t="shared" si="31"/>
        <v>0.2</v>
      </c>
      <c r="CD31" s="35">
        <f t="shared" si="32"/>
        <v>0.36734001786868553</v>
      </c>
      <c r="CE31" s="35">
        <f t="shared" si="33"/>
        <v>0.36734001786868553</v>
      </c>
      <c r="CF31" s="35">
        <f t="shared" si="34"/>
        <v>0.36734001786868553</v>
      </c>
      <c r="CG31" s="35">
        <f t="shared" si="35"/>
        <v>0.36734001786868553</v>
      </c>
      <c r="CH31" s="28">
        <f t="shared" si="36"/>
        <v>0</v>
      </c>
      <c r="CI31" s="28">
        <f t="shared" si="37"/>
        <v>0</v>
      </c>
      <c r="CJ31" s="28">
        <f t="shared" si="38"/>
        <v>15770.208977192617</v>
      </c>
      <c r="CK31" s="28">
        <f t="shared" si="39"/>
        <v>23888.187599743134</v>
      </c>
      <c r="CL31" s="28">
        <f t="shared" si="40"/>
        <v>32524.253232277508</v>
      </c>
      <c r="CM31" s="28">
        <f t="shared" si="41"/>
        <v>31773.866593424915</v>
      </c>
      <c r="CN31" s="28">
        <f t="shared" si="42"/>
        <v>22669.742674279547</v>
      </c>
      <c r="CO31" s="28">
        <f t="shared" si="43"/>
        <v>15649.174735812147</v>
      </c>
      <c r="CP31" s="28">
        <f t="shared" si="44"/>
        <v>9597.8791346379567</v>
      </c>
      <c r="CQ31" s="28">
        <f t="shared" si="45"/>
        <v>5787.7252965483385</v>
      </c>
      <c r="CR31" s="28">
        <f t="shared" si="46"/>
        <v>3303.9509089154153</v>
      </c>
      <c r="CS31" s="28">
        <f t="shared" si="47"/>
        <v>4271.8664484489</v>
      </c>
      <c r="CT31" s="44">
        <f t="shared" si="106"/>
        <v>0</v>
      </c>
      <c r="CU31" s="44">
        <f t="shared" si="107"/>
        <v>0</v>
      </c>
      <c r="CV31" s="44">
        <f t="shared" si="108"/>
        <v>3.9497272130314828E-2</v>
      </c>
      <c r="CW31" s="44">
        <f t="shared" si="109"/>
        <v>7.3075258020211947E-2</v>
      </c>
      <c r="CX31" s="44">
        <f t="shared" si="110"/>
        <v>0.12152104310797004</v>
      </c>
      <c r="CY31" s="44">
        <f t="shared" si="111"/>
        <v>0.19000378373827859</v>
      </c>
      <c r="CZ31" s="44">
        <f t="shared" si="112"/>
        <v>0.28430047861725738</v>
      </c>
      <c r="DA31" s="44">
        <f t="shared" si="113"/>
        <v>0.41158541500055668</v>
      </c>
      <c r="DB31" s="44">
        <f t="shared" si="114"/>
        <v>0.52939450085412454</v>
      </c>
      <c r="DC31" s="44">
        <f t="shared" si="115"/>
        <v>0.66949093193742759</v>
      </c>
      <c r="DD31" s="44">
        <f t="shared" si="116"/>
        <v>0.80149070306467562</v>
      </c>
      <c r="DE31" s="44">
        <f t="shared" si="117"/>
        <v>0.93079762019852363</v>
      </c>
      <c r="DF31" s="21">
        <f t="shared" si="49"/>
        <v>0</v>
      </c>
      <c r="DG31" s="21">
        <f t="shared" si="50"/>
        <v>0</v>
      </c>
      <c r="DH31" s="21">
        <f t="shared" si="51"/>
        <v>0</v>
      </c>
      <c r="DI31" s="21">
        <f t="shared" si="52"/>
        <v>0</v>
      </c>
      <c r="DJ31" s="21">
        <f t="shared" si="118"/>
        <v>57713.679581589895</v>
      </c>
      <c r="DK31" s="21">
        <f t="shared" si="53"/>
        <v>63863.133473425958</v>
      </c>
      <c r="DL31" s="21">
        <f t="shared" si="54"/>
        <v>30451.690352243717</v>
      </c>
      <c r="DM31" s="21">
        <f t="shared" si="55"/>
        <v>14520.242469360513</v>
      </c>
      <c r="DN31" s="21">
        <f t="shared" si="56"/>
        <v>6923.7002296877145</v>
      </c>
      <c r="DO31" s="21">
        <f t="shared" si="57"/>
        <v>3301.4567811914899</v>
      </c>
      <c r="DP31" s="21">
        <f t="shared" si="58"/>
        <v>1574.2637749956741</v>
      </c>
      <c r="DQ31" s="21">
        <f t="shared" si="59"/>
        <v>1752.6887861587825</v>
      </c>
      <c r="DR31" s="21">
        <f t="shared" si="60"/>
        <v>0</v>
      </c>
      <c r="DS31" s="21">
        <f t="shared" si="61"/>
        <v>5259222.3875515275</v>
      </c>
      <c r="DT31" s="21">
        <f t="shared" si="62"/>
        <v>5380396.4840116519</v>
      </c>
      <c r="DU31" s="21">
        <f t="shared" si="63"/>
        <v>4494228.9494609851</v>
      </c>
      <c r="DV31" s="13">
        <f t="shared" si="64"/>
        <v>0</v>
      </c>
      <c r="DW31" s="13">
        <f t="shared" si="65"/>
        <v>0</v>
      </c>
      <c r="DX31" s="13">
        <f t="shared" si="66"/>
        <v>0</v>
      </c>
      <c r="DY31" s="13">
        <f t="shared" si="67"/>
        <v>0</v>
      </c>
      <c r="DZ31" s="13">
        <f t="shared" si="68"/>
        <v>191556.55203071987</v>
      </c>
      <c r="EA31" s="13">
        <f t="shared" si="119"/>
        <v>308186.45446861035</v>
      </c>
      <c r="EB31" s="13">
        <f t="shared" si="69"/>
        <v>205330.59016662644</v>
      </c>
      <c r="EC31" s="13">
        <f t="shared" si="70"/>
        <v>132828.69330330318</v>
      </c>
      <c r="ED31" s="13">
        <f t="shared" si="71"/>
        <v>76866.718284401388</v>
      </c>
      <c r="EE31" s="13">
        <f t="shared" si="72"/>
        <v>43924.359426473988</v>
      </c>
      <c r="EF31" s="13">
        <f t="shared" si="73"/>
        <v>23909.649600279732</v>
      </c>
      <c r="EG31" s="13">
        <f t="shared" si="74"/>
        <v>29617.468520912644</v>
      </c>
      <c r="EH31" s="13">
        <f t="shared" si="75"/>
        <v>0</v>
      </c>
      <c r="EI31" s="13">
        <f t="shared" si="76"/>
        <v>52592.223875515279</v>
      </c>
      <c r="EJ31" s="13">
        <f t="shared" si="77"/>
        <v>107607.92968023304</v>
      </c>
      <c r="EK31" s="13">
        <f t="shared" si="78"/>
        <v>134826.86848382954</v>
      </c>
      <c r="EL31" s="21">
        <f t="shared" si="120"/>
        <v>1012220.4858013276</v>
      </c>
      <c r="EM31" s="21">
        <f t="shared" si="121"/>
        <v>295027.02203957783</v>
      </c>
      <c r="EN31" s="21">
        <f t="shared" si="79"/>
        <v>15183307287.019915</v>
      </c>
      <c r="EO31" s="21">
        <f t="shared" si="80"/>
        <v>6638107995.890501</v>
      </c>
      <c r="EP31" s="21">
        <f t="shared" si="81"/>
        <v>12930770857.156656</v>
      </c>
      <c r="EQ31" s="21">
        <f t="shared" si="82"/>
        <v>4539032051.4736729</v>
      </c>
      <c r="ER31" s="21">
        <f t="shared" si="83"/>
        <v>3188688834.7994351</v>
      </c>
      <c r="ES31" s="21">
        <f t="shared" si="84"/>
        <v>1119311523.1270492</v>
      </c>
    </row>
    <row r="32" spans="1:149" x14ac:dyDescent="0.25">
      <c r="A32" s="19" t="s">
        <v>44</v>
      </c>
      <c r="B32" s="19">
        <v>0</v>
      </c>
      <c r="C32" s="19">
        <v>3.0000000000000001E-3</v>
      </c>
      <c r="D32" s="19">
        <v>4.9473684210526322E-2</v>
      </c>
      <c r="E32" s="19">
        <v>0.27347368421052626</v>
      </c>
      <c r="F32" s="19">
        <v>0.57821052631578962</v>
      </c>
      <c r="G32" s="19">
        <v>0.81021052631578938</v>
      </c>
      <c r="H32" s="19">
        <v>0.9367368421052632</v>
      </c>
      <c r="I32" s="19">
        <v>0.98447368421052628</v>
      </c>
      <c r="J32" s="19">
        <v>0.99457894736842101</v>
      </c>
      <c r="K32" s="19">
        <v>0.99700000000000011</v>
      </c>
      <c r="L32" s="19">
        <v>1</v>
      </c>
      <c r="M32" s="19">
        <v>1</v>
      </c>
      <c r="O32" s="3">
        <v>30</v>
      </c>
      <c r="P32" s="21">
        <f t="shared" si="122"/>
        <v>450507.28597265156</v>
      </c>
      <c r="Q32" s="21">
        <f t="shared" si="123"/>
        <v>419815.18888336571</v>
      </c>
      <c r="R32" s="13">
        <f t="shared" si="135"/>
        <v>692038.17491923762</v>
      </c>
      <c r="S32" s="13">
        <f t="shared" si="85"/>
        <v>512675.10230561107</v>
      </c>
      <c r="T32" s="13">
        <f t="shared" si="86"/>
        <v>399272.43999541155</v>
      </c>
      <c r="U32" s="13">
        <f t="shared" si="87"/>
        <v>326897.38748272246</v>
      </c>
      <c r="V32" s="13">
        <f t="shared" si="88"/>
        <v>267641.80316402361</v>
      </c>
      <c r="W32" s="13">
        <f t="shared" si="89"/>
        <v>167226.55831576229</v>
      </c>
      <c r="X32" s="13">
        <f t="shared" si="90"/>
        <v>79738.034765608361</v>
      </c>
      <c r="Y32" s="13">
        <f t="shared" si="91"/>
        <v>38021.277878404275</v>
      </c>
      <c r="Z32" s="13">
        <f t="shared" si="92"/>
        <v>18129.639681847264</v>
      </c>
      <c r="AA32" s="13">
        <f t="shared" si="93"/>
        <v>8644.7723372548899</v>
      </c>
      <c r="AB32" s="13">
        <f t="shared" si="94"/>
        <v>4122.1227534245863</v>
      </c>
      <c r="AC32" s="13">
        <f t="shared" si="95"/>
        <v>4589.1431154271495</v>
      </c>
      <c r="AD32" s="13">
        <f t="shared" si="96"/>
        <v>47617161.206899069</v>
      </c>
      <c r="AE32" s="13">
        <f t="shared" si="97"/>
        <v>32978387.681052111</v>
      </c>
      <c r="AF32" s="13">
        <f t="shared" si="98"/>
        <v>18515378.297345422</v>
      </c>
      <c r="AG32" s="13">
        <f t="shared" si="99"/>
        <v>15466033.852544501</v>
      </c>
      <c r="AH32" s="21">
        <f t="shared" si="0"/>
        <v>0</v>
      </c>
      <c r="AI32" s="21">
        <f t="shared" si="1"/>
        <v>1538.0253069168332</v>
      </c>
      <c r="AJ32" s="21">
        <f t="shared" si="2"/>
        <v>19753.478610299309</v>
      </c>
      <c r="AK32" s="21">
        <f t="shared" si="3"/>
        <v>89397.832913696082</v>
      </c>
      <c r="AL32" s="21">
        <f t="shared" si="4"/>
        <v>154753.30787157707</v>
      </c>
      <c r="AM32" s="21">
        <f t="shared" si="5"/>
        <v>135488.71782699181</v>
      </c>
      <c r="AN32" s="21">
        <f t="shared" si="6"/>
        <v>74693.554882015669</v>
      </c>
      <c r="AO32" s="21">
        <f t="shared" si="7"/>
        <v>37430.947511344835</v>
      </c>
      <c r="AP32" s="21">
        <f t="shared" si="8"/>
        <v>18031.357950940408</v>
      </c>
      <c r="AQ32" s="21">
        <f t="shared" si="9"/>
        <v>8618.8380202431254</v>
      </c>
      <c r="AR32" s="21">
        <f t="shared" si="10"/>
        <v>4122.1227534245863</v>
      </c>
      <c r="AS32" s="21">
        <f t="shared" si="11"/>
        <v>4589.1431154271495</v>
      </c>
      <c r="AT32" s="21">
        <f t="shared" si="12"/>
        <v>0</v>
      </c>
      <c r="AU32" s="21">
        <f t="shared" si="13"/>
        <v>16489193.840526056</v>
      </c>
      <c r="AV32" s="21">
        <f t="shared" si="14"/>
        <v>18515378.297345422</v>
      </c>
      <c r="AW32" s="21">
        <f t="shared" si="15"/>
        <v>15466033.852544501</v>
      </c>
      <c r="AX32" s="13">
        <f t="shared" si="100"/>
        <v>0.2</v>
      </c>
      <c r="AY32" s="13">
        <f t="shared" si="124"/>
        <v>0.6</v>
      </c>
      <c r="AZ32" s="13">
        <f t="shared" si="125"/>
        <v>1.2658</v>
      </c>
      <c r="BA32" s="13">
        <f t="shared" si="126"/>
        <v>2.1566480904912204</v>
      </c>
      <c r="BB32" s="13">
        <f t="shared" si="127"/>
        <v>3.3190851388295819</v>
      </c>
      <c r="BC32" s="13">
        <f t="shared" si="128"/>
        <v>4.8257358110030406</v>
      </c>
      <c r="BD32" s="13">
        <f t="shared" si="129"/>
        <v>6.7428352264296132</v>
      </c>
      <c r="BE32" s="13">
        <f t="shared" si="130"/>
        <v>9.1478368219636597</v>
      </c>
      <c r="BF32" s="13">
        <f t="shared" si="131"/>
        <v>11.101983768190021</v>
      </c>
      <c r="BG32" s="13">
        <f t="shared" si="132"/>
        <v>13.304558948446983</v>
      </c>
      <c r="BH32" s="13">
        <f t="shared" si="133"/>
        <v>15.187860500351432</v>
      </c>
      <c r="BI32" s="13">
        <f t="shared" si="134"/>
        <v>16.898351117516714</v>
      </c>
      <c r="BJ32" s="13">
        <f t="shared" si="16"/>
        <v>4.0000000000000001E-3</v>
      </c>
      <c r="BK32" s="13">
        <f t="shared" si="17"/>
        <v>0.01</v>
      </c>
      <c r="BL32" s="13">
        <f t="shared" si="18"/>
        <v>0.02</v>
      </c>
      <c r="BM32" s="13">
        <f t="shared" si="19"/>
        <v>0.03</v>
      </c>
      <c r="BN32" s="30">
        <f t="shared" si="102"/>
        <v>4693649.40100428</v>
      </c>
      <c r="BO32" s="30">
        <f t="shared" si="103"/>
        <v>1354541.1031613608</v>
      </c>
      <c r="BP32" s="30">
        <f t="shared" si="104"/>
        <v>2687265.9878078569</v>
      </c>
      <c r="BQ32" s="30">
        <f t="shared" si="105"/>
        <v>999180.51992850401</v>
      </c>
      <c r="BR32" s="36">
        <f t="shared" si="20"/>
        <v>0.3</v>
      </c>
      <c r="BS32" s="36">
        <f t="shared" si="21"/>
        <v>0.25</v>
      </c>
      <c r="BT32" s="36">
        <f t="shared" si="22"/>
        <v>0.2</v>
      </c>
      <c r="BU32" s="36">
        <f t="shared" si="23"/>
        <v>0.2</v>
      </c>
      <c r="BV32" s="36">
        <f t="shared" si="24"/>
        <v>0.2</v>
      </c>
      <c r="BW32" s="36">
        <f t="shared" si="25"/>
        <v>0.2</v>
      </c>
      <c r="BX32" s="36">
        <f t="shared" si="26"/>
        <v>0.2</v>
      </c>
      <c r="BY32" s="36">
        <f t="shared" si="27"/>
        <v>0.2</v>
      </c>
      <c r="BZ32" s="36">
        <f t="shared" si="28"/>
        <v>0.2</v>
      </c>
      <c r="CA32" s="36">
        <f t="shared" si="29"/>
        <v>0.2</v>
      </c>
      <c r="CB32" s="36">
        <f t="shared" si="30"/>
        <v>0.2</v>
      </c>
      <c r="CC32" s="36">
        <f t="shared" si="31"/>
        <v>0.2</v>
      </c>
      <c r="CD32" s="35">
        <f t="shared" si="32"/>
        <v>0.36733851614294211</v>
      </c>
      <c r="CE32" s="35">
        <f t="shared" si="33"/>
        <v>0.36733851614294211</v>
      </c>
      <c r="CF32" s="35">
        <f t="shared" si="34"/>
        <v>0.36733851614294211</v>
      </c>
      <c r="CG32" s="35">
        <f t="shared" si="35"/>
        <v>0.36733851614294211</v>
      </c>
      <c r="CH32" s="28">
        <f t="shared" si="36"/>
        <v>0</v>
      </c>
      <c r="CI32" s="28">
        <f t="shared" si="37"/>
        <v>0</v>
      </c>
      <c r="CJ32" s="28">
        <f t="shared" si="38"/>
        <v>15770.321751805168</v>
      </c>
      <c r="CK32" s="28">
        <f t="shared" si="39"/>
        <v>23888.337447134432</v>
      </c>
      <c r="CL32" s="28">
        <f t="shared" si="40"/>
        <v>32524.419498358504</v>
      </c>
      <c r="CM32" s="28">
        <f t="shared" si="41"/>
        <v>31773.980104380098</v>
      </c>
      <c r="CN32" s="28">
        <f t="shared" si="42"/>
        <v>22669.776404091652</v>
      </c>
      <c r="CO32" s="28">
        <f t="shared" si="43"/>
        <v>15649.151820665287</v>
      </c>
      <c r="CP32" s="28">
        <f t="shared" si="44"/>
        <v>9597.8225571870353</v>
      </c>
      <c r="CQ32" s="28">
        <f t="shared" si="45"/>
        <v>5787.6515673277645</v>
      </c>
      <c r="CR32" s="28">
        <f t="shared" si="46"/>
        <v>3303.8743913036133</v>
      </c>
      <c r="CS32" s="28">
        <f t="shared" si="47"/>
        <v>4271.6039942047519</v>
      </c>
      <c r="CT32" s="44">
        <f t="shared" si="106"/>
        <v>0</v>
      </c>
      <c r="CU32" s="44">
        <f t="shared" si="107"/>
        <v>0</v>
      </c>
      <c r="CV32" s="44">
        <f t="shared" si="108"/>
        <v>3.9497646649456701E-2</v>
      </c>
      <c r="CW32" s="44">
        <f t="shared" si="109"/>
        <v>7.3075950930923256E-2</v>
      </c>
      <c r="CX32" s="44">
        <f t="shared" si="110"/>
        <v>0.12152219538898411</v>
      </c>
      <c r="CY32" s="44">
        <f t="shared" si="111"/>
        <v>0.19000558538305559</v>
      </c>
      <c r="CZ32" s="44">
        <f t="shared" si="112"/>
        <v>0.28430317439763769</v>
      </c>
      <c r="DA32" s="44">
        <f t="shared" si="113"/>
        <v>0.41158931771606383</v>
      </c>
      <c r="DB32" s="44">
        <f t="shared" si="114"/>
        <v>0.52939952065330265</v>
      </c>
      <c r="DC32" s="44">
        <f t="shared" si="115"/>
        <v>0.66949728015227383</v>
      </c>
      <c r="DD32" s="44">
        <f t="shared" si="116"/>
        <v>0.80149830292142876</v>
      </c>
      <c r="DE32" s="44">
        <f t="shared" si="117"/>
        <v>0.93080644616313268</v>
      </c>
      <c r="DF32" s="21">
        <f t="shared" si="49"/>
        <v>0</v>
      </c>
      <c r="DG32" s="21">
        <f t="shared" si="50"/>
        <v>0</v>
      </c>
      <c r="DH32" s="21">
        <f t="shared" si="51"/>
        <v>0</v>
      </c>
      <c r="DI32" s="21">
        <f t="shared" si="52"/>
        <v>0</v>
      </c>
      <c r="DJ32" s="21">
        <f t="shared" si="118"/>
        <v>57713.427370147103</v>
      </c>
      <c r="DK32" s="21">
        <f t="shared" si="53"/>
        <v>63862.75606572556</v>
      </c>
      <c r="DL32" s="21">
        <f t="shared" si="54"/>
        <v>30451.446915393499</v>
      </c>
      <c r="DM32" s="21">
        <f t="shared" si="55"/>
        <v>14520.083525673026</v>
      </c>
      <c r="DN32" s="21">
        <f t="shared" si="56"/>
        <v>6923.5937653820538</v>
      </c>
      <c r="DO32" s="21">
        <f t="shared" si="57"/>
        <v>3301.3834200629117</v>
      </c>
      <c r="DP32" s="21">
        <f t="shared" si="58"/>
        <v>1574.2123890264752</v>
      </c>
      <c r="DQ32" s="21">
        <f t="shared" si="59"/>
        <v>1752.5644866638595</v>
      </c>
      <c r="DR32" s="21">
        <f t="shared" si="60"/>
        <v>0</v>
      </c>
      <c r="DS32" s="21">
        <f t="shared" si="61"/>
        <v>5259242.629146778</v>
      </c>
      <c r="DT32" s="21">
        <f t="shared" si="62"/>
        <v>5380434.9517751774</v>
      </c>
      <c r="DU32" s="21">
        <f t="shared" si="63"/>
        <v>4494317.5218569012</v>
      </c>
      <c r="DV32" s="13">
        <f t="shared" si="64"/>
        <v>0</v>
      </c>
      <c r="DW32" s="13">
        <f t="shared" si="65"/>
        <v>0</v>
      </c>
      <c r="DX32" s="13">
        <f t="shared" si="66"/>
        <v>0</v>
      </c>
      <c r="DY32" s="13">
        <f t="shared" si="67"/>
        <v>0</v>
      </c>
      <c r="DZ32" s="13">
        <f t="shared" si="68"/>
        <v>191555.77909517568</v>
      </c>
      <c r="EA32" s="13">
        <f t="shared" si="119"/>
        <v>308184.78893572348</v>
      </c>
      <c r="EB32" s="13">
        <f t="shared" si="69"/>
        <v>205329.08895686668</v>
      </c>
      <c r="EC32" s="13">
        <f t="shared" si="70"/>
        <v>132827.35473413963</v>
      </c>
      <c r="ED32" s="13">
        <f t="shared" si="71"/>
        <v>76865.62560081319</v>
      </c>
      <c r="EE32" s="13">
        <f t="shared" si="72"/>
        <v>43923.45032365252</v>
      </c>
      <c r="EF32" s="13">
        <f t="shared" si="73"/>
        <v>23908.918162459064</v>
      </c>
      <c r="EG32" s="13">
        <f t="shared" si="74"/>
        <v>29615.450051736338</v>
      </c>
      <c r="EH32" s="13">
        <f t="shared" si="75"/>
        <v>0</v>
      </c>
      <c r="EI32" s="13">
        <f t="shared" si="76"/>
        <v>52592.426291467782</v>
      </c>
      <c r="EJ32" s="13">
        <f t="shared" si="77"/>
        <v>107608.69903550355</v>
      </c>
      <c r="EK32" s="13">
        <f t="shared" si="78"/>
        <v>134829.52565570702</v>
      </c>
      <c r="EL32" s="21">
        <f t="shared" si="120"/>
        <v>1012210.4558605665</v>
      </c>
      <c r="EM32" s="21">
        <f t="shared" si="121"/>
        <v>295030.6509826784</v>
      </c>
      <c r="EN32" s="21">
        <f t="shared" si="79"/>
        <v>15183156837.908497</v>
      </c>
      <c r="EO32" s="21">
        <f t="shared" si="80"/>
        <v>6638189647.1102638</v>
      </c>
      <c r="EP32" s="21">
        <f t="shared" si="81"/>
        <v>12930620408.045238</v>
      </c>
      <c r="EQ32" s="21">
        <f t="shared" si="82"/>
        <v>4539113702.6934357</v>
      </c>
      <c r="ER32" s="21">
        <f t="shared" si="83"/>
        <v>3033139354.3467107</v>
      </c>
      <c r="ES32" s="21">
        <f t="shared" si="84"/>
        <v>1064741208.9313036</v>
      </c>
    </row>
    <row r="33" spans="1:149" x14ac:dyDescent="0.25">
      <c r="A33" s="19" t="s">
        <v>8</v>
      </c>
      <c r="B33" s="19">
        <v>0.3</v>
      </c>
      <c r="C33" s="19">
        <v>0.25</v>
      </c>
      <c r="D33" s="19">
        <v>0.2</v>
      </c>
      <c r="E33" s="19">
        <v>0.2</v>
      </c>
      <c r="F33" s="19">
        <v>0.2</v>
      </c>
      <c r="G33" s="19">
        <v>0.2</v>
      </c>
      <c r="H33" s="19">
        <v>0.2</v>
      </c>
      <c r="I33" s="19">
        <v>0.2</v>
      </c>
      <c r="J33" s="19">
        <v>0.2</v>
      </c>
      <c r="K33" s="19">
        <v>0.2</v>
      </c>
      <c r="L33" s="19">
        <v>0.2</v>
      </c>
      <c r="M33" s="19">
        <v>0.2</v>
      </c>
      <c r="O33" s="3">
        <v>31</v>
      </c>
      <c r="P33" s="21">
        <f t="shared" si="122"/>
        <v>450507.28597265156</v>
      </c>
      <c r="Q33" s="21">
        <f t="shared" si="123"/>
        <v>419815.18888336571</v>
      </c>
      <c r="R33" s="13">
        <f t="shared" si="135"/>
        <v>692037.585529904</v>
      </c>
      <c r="S33" s="13">
        <f t="shared" si="85"/>
        <v>512674.48938749306</v>
      </c>
      <c r="T33" s="13">
        <f t="shared" si="86"/>
        <v>399271.77113682253</v>
      </c>
      <c r="U33" s="13">
        <f t="shared" si="87"/>
        <v>326896.62548072659</v>
      </c>
      <c r="V33" s="13">
        <f t="shared" si="88"/>
        <v>267640.94423295418</v>
      </c>
      <c r="W33" s="13">
        <f t="shared" si="89"/>
        <v>167225.82752798629</v>
      </c>
      <c r="X33" s="13">
        <f t="shared" si="90"/>
        <v>79737.563543062599</v>
      </c>
      <c r="Y33" s="13">
        <f t="shared" si="91"/>
        <v>38020.973928770582</v>
      </c>
      <c r="Z33" s="13">
        <f t="shared" si="92"/>
        <v>18129.441228426811</v>
      </c>
      <c r="AA33" s="13">
        <f t="shared" si="93"/>
        <v>8644.639408379584</v>
      </c>
      <c r="AB33" s="13">
        <f t="shared" si="94"/>
        <v>4122.0311564123058</v>
      </c>
      <c r="AC33" s="13">
        <f t="shared" si="95"/>
        <v>4588.9095535569068</v>
      </c>
      <c r="AD33" s="13">
        <f t="shared" si="96"/>
        <v>47617187.936190084</v>
      </c>
      <c r="AE33" s="13">
        <f t="shared" si="97"/>
        <v>32978462.92193814</v>
      </c>
      <c r="AF33" s="13">
        <f t="shared" si="98"/>
        <v>18515464.79171725</v>
      </c>
      <c r="AG33" s="13">
        <f t="shared" si="99"/>
        <v>15466245.948991243</v>
      </c>
      <c r="AH33" s="21">
        <f t="shared" si="0"/>
        <v>0</v>
      </c>
      <c r="AI33" s="21">
        <f t="shared" si="1"/>
        <v>1538.0234681624793</v>
      </c>
      <c r="AJ33" s="21">
        <f t="shared" si="2"/>
        <v>19753.445519400695</v>
      </c>
      <c r="AK33" s="21">
        <f t="shared" si="3"/>
        <v>89397.624526202897</v>
      </c>
      <c r="AL33" s="21">
        <f t="shared" si="4"/>
        <v>154752.81122859134</v>
      </c>
      <c r="AM33" s="21">
        <f t="shared" si="5"/>
        <v>135488.1257350432</v>
      </c>
      <c r="AN33" s="21">
        <f t="shared" si="6"/>
        <v>74693.113470496217</v>
      </c>
      <c r="AO33" s="21">
        <f t="shared" si="7"/>
        <v>37430.648280929141</v>
      </c>
      <c r="AP33" s="21">
        <f t="shared" si="8"/>
        <v>18031.160573346391</v>
      </c>
      <c r="AQ33" s="21">
        <f t="shared" si="9"/>
        <v>8618.705490154447</v>
      </c>
      <c r="AR33" s="21">
        <f t="shared" si="10"/>
        <v>4122.0311564123058</v>
      </c>
      <c r="AS33" s="21">
        <f t="shared" si="11"/>
        <v>4588.9095535569068</v>
      </c>
      <c r="AT33" s="21">
        <f t="shared" si="12"/>
        <v>0</v>
      </c>
      <c r="AU33" s="21">
        <f t="shared" si="13"/>
        <v>16489231.46096907</v>
      </c>
      <c r="AV33" s="21">
        <f t="shared" si="14"/>
        <v>18515464.79171725</v>
      </c>
      <c r="AW33" s="21">
        <f t="shared" si="15"/>
        <v>15466245.948991243</v>
      </c>
      <c r="AX33" s="13">
        <f t="shared" si="100"/>
        <v>0.2</v>
      </c>
      <c r="AY33" s="13">
        <f t="shared" si="124"/>
        <v>0.6</v>
      </c>
      <c r="AZ33" s="13">
        <f t="shared" si="125"/>
        <v>1.2658</v>
      </c>
      <c r="BA33" s="13">
        <f t="shared" si="126"/>
        <v>2.1566483526546198</v>
      </c>
      <c r="BB33" s="13">
        <f t="shared" si="127"/>
        <v>3.3190859395777021</v>
      </c>
      <c r="BC33" s="13">
        <f t="shared" si="128"/>
        <v>4.8257375682474128</v>
      </c>
      <c r="BD33" s="13">
        <f t="shared" si="129"/>
        <v>6.742838547840738</v>
      </c>
      <c r="BE33" s="13">
        <f t="shared" si="130"/>
        <v>9.1478425596766204</v>
      </c>
      <c r="BF33" s="13">
        <f t="shared" si="131"/>
        <v>11.101993083164283</v>
      </c>
      <c r="BG33" s="13">
        <f t="shared" si="132"/>
        <v>13.304573600418678</v>
      </c>
      <c r="BH33" s="13">
        <f t="shared" si="133"/>
        <v>15.187882996500278</v>
      </c>
      <c r="BI33" s="13">
        <f t="shared" si="134"/>
        <v>16.898384906373934</v>
      </c>
      <c r="BJ33" s="13">
        <f t="shared" si="16"/>
        <v>4.0000000000000001E-3</v>
      </c>
      <c r="BK33" s="13">
        <f t="shared" si="17"/>
        <v>0.01</v>
      </c>
      <c r="BL33" s="13">
        <f t="shared" si="18"/>
        <v>0.02</v>
      </c>
      <c r="BM33" s="13">
        <f t="shared" si="19"/>
        <v>0.03</v>
      </c>
      <c r="BN33" s="30">
        <f t="shared" si="102"/>
        <v>4693626.400477373</v>
      </c>
      <c r="BO33" s="30">
        <f t="shared" si="103"/>
        <v>1354550.0552682241</v>
      </c>
      <c r="BP33" s="30">
        <f t="shared" si="104"/>
        <v>2687247.3738515368</v>
      </c>
      <c r="BQ33" s="30">
        <f t="shared" si="105"/>
        <v>999188.98891377298</v>
      </c>
      <c r="BR33" s="36">
        <f t="shared" si="20"/>
        <v>0.3</v>
      </c>
      <c r="BS33" s="36">
        <f t="shared" si="21"/>
        <v>0.25</v>
      </c>
      <c r="BT33" s="36">
        <f t="shared" si="22"/>
        <v>0.2</v>
      </c>
      <c r="BU33" s="36">
        <f t="shared" si="23"/>
        <v>0.2</v>
      </c>
      <c r="BV33" s="36">
        <f t="shared" si="24"/>
        <v>0.2</v>
      </c>
      <c r="BW33" s="36">
        <f t="shared" si="25"/>
        <v>0.2</v>
      </c>
      <c r="BX33" s="36">
        <f t="shared" si="26"/>
        <v>0.2</v>
      </c>
      <c r="BY33" s="36">
        <f t="shared" si="27"/>
        <v>0.2</v>
      </c>
      <c r="BZ33" s="36">
        <f t="shared" si="28"/>
        <v>0.2</v>
      </c>
      <c r="CA33" s="36">
        <f t="shared" si="29"/>
        <v>0.2</v>
      </c>
      <c r="CB33" s="36">
        <f t="shared" si="30"/>
        <v>0.2</v>
      </c>
      <c r="CC33" s="36">
        <f t="shared" si="31"/>
        <v>0.2</v>
      </c>
      <c r="CD33" s="35">
        <f t="shared" si="32"/>
        <v>0.3673374332630257</v>
      </c>
      <c r="CE33" s="35">
        <f t="shared" si="33"/>
        <v>0.3673374332630257</v>
      </c>
      <c r="CF33" s="35">
        <f t="shared" si="34"/>
        <v>0.3673374332630257</v>
      </c>
      <c r="CG33" s="35">
        <f t="shared" si="35"/>
        <v>0.3673374332630257</v>
      </c>
      <c r="CH33" s="28">
        <f t="shared" si="36"/>
        <v>0</v>
      </c>
      <c r="CI33" s="28">
        <f t="shared" si="37"/>
        <v>0</v>
      </c>
      <c r="CJ33" s="28">
        <f t="shared" si="38"/>
        <v>15770.402955771227</v>
      </c>
      <c r="CK33" s="28">
        <f t="shared" si="39"/>
        <v>23888.444785550888</v>
      </c>
      <c r="CL33" s="28">
        <f t="shared" si="40"/>
        <v>32524.537077079931</v>
      </c>
      <c r="CM33" s="28">
        <f t="shared" si="41"/>
        <v>31774.058087021389</v>
      </c>
      <c r="CN33" s="28">
        <f t="shared" si="42"/>
        <v>22669.797140019138</v>
      </c>
      <c r="CO33" s="28">
        <f t="shared" si="43"/>
        <v>15649.133512967488</v>
      </c>
      <c r="CP33" s="28">
        <f t="shared" si="44"/>
        <v>9597.7829944020577</v>
      </c>
      <c r="CQ33" s="28">
        <f t="shared" si="45"/>
        <v>5787.6020682668368</v>
      </c>
      <c r="CR33" s="28">
        <f t="shared" si="46"/>
        <v>3303.8235228089397</v>
      </c>
      <c r="CS33" s="28">
        <f t="shared" si="47"/>
        <v>4271.4157428263507</v>
      </c>
      <c r="CT33" s="44">
        <f t="shared" si="106"/>
        <v>0</v>
      </c>
      <c r="CU33" s="44">
        <f t="shared" si="107"/>
        <v>0</v>
      </c>
      <c r="CV33" s="44">
        <f t="shared" si="108"/>
        <v>3.9497916195951208E-2</v>
      </c>
      <c r="CW33" s="44">
        <f t="shared" si="109"/>
        <v>7.3076449628138848E-2</v>
      </c>
      <c r="CX33" s="44">
        <f t="shared" si="110"/>
        <v>0.12152302470122298</v>
      </c>
      <c r="CY33" s="44">
        <f t="shared" si="111"/>
        <v>0.19000688205118196</v>
      </c>
      <c r="CZ33" s="44">
        <f t="shared" si="112"/>
        <v>0.28430511458725749</v>
      </c>
      <c r="DA33" s="44">
        <f t="shared" si="113"/>
        <v>0.41159212655322708</v>
      </c>
      <c r="DB33" s="44">
        <f t="shared" si="114"/>
        <v>0.52940313347070045</v>
      </c>
      <c r="DC33" s="44">
        <f t="shared" si="115"/>
        <v>0.66950184904840448</v>
      </c>
      <c r="DD33" s="44">
        <f t="shared" si="116"/>
        <v>0.80150377264117778</v>
      </c>
      <c r="DE33" s="44">
        <f t="shared" si="117"/>
        <v>0.93081279832929731</v>
      </c>
      <c r="DF33" s="21">
        <f t="shared" si="49"/>
        <v>0</v>
      </c>
      <c r="DG33" s="21">
        <f t="shared" si="50"/>
        <v>0</v>
      </c>
      <c r="DH33" s="21">
        <f t="shared" si="51"/>
        <v>0</v>
      </c>
      <c r="DI33" s="21">
        <f t="shared" si="52"/>
        <v>0</v>
      </c>
      <c r="DJ33" s="21">
        <f t="shared" si="118"/>
        <v>57713.242152982566</v>
      </c>
      <c r="DK33" s="21">
        <f t="shared" si="53"/>
        <v>63862.476982534798</v>
      </c>
      <c r="DL33" s="21">
        <f t="shared" si="54"/>
        <v>30451.266958508688</v>
      </c>
      <c r="DM33" s="21">
        <f t="shared" si="55"/>
        <v>14519.96744924648</v>
      </c>
      <c r="DN33" s="21">
        <f t="shared" si="56"/>
        <v>6923.5179772864994</v>
      </c>
      <c r="DO33" s="21">
        <f t="shared" si="57"/>
        <v>3301.33265537324</v>
      </c>
      <c r="DP33" s="21">
        <f t="shared" si="58"/>
        <v>1574.1774087116826</v>
      </c>
      <c r="DQ33" s="21">
        <f t="shared" si="59"/>
        <v>1752.4752908752489</v>
      </c>
      <c r="DR33" s="21">
        <f t="shared" si="60"/>
        <v>0</v>
      </c>
      <c r="DS33" s="21">
        <f t="shared" si="61"/>
        <v>5259257.2033423791</v>
      </c>
      <c r="DT33" s="21">
        <f t="shared" si="62"/>
        <v>5380462.6213112939</v>
      </c>
      <c r="DU33" s="21">
        <f t="shared" si="63"/>
        <v>4494381.2729875641</v>
      </c>
      <c r="DV33" s="13">
        <f t="shared" si="64"/>
        <v>0</v>
      </c>
      <c r="DW33" s="13">
        <f t="shared" si="65"/>
        <v>0</v>
      </c>
      <c r="DX33" s="13">
        <f t="shared" si="66"/>
        <v>0</v>
      </c>
      <c r="DY33" s="13">
        <f t="shared" si="67"/>
        <v>0</v>
      </c>
      <c r="DZ33" s="13">
        <f t="shared" si="68"/>
        <v>191555.21055740758</v>
      </c>
      <c r="EA33" s="13">
        <f t="shared" si="119"/>
        <v>308183.55437595386</v>
      </c>
      <c r="EB33" s="13">
        <f t="shared" si="69"/>
        <v>205327.97667842137</v>
      </c>
      <c r="EC33" s="13">
        <f t="shared" si="70"/>
        <v>132826.37619733613</v>
      </c>
      <c r="ED33" s="13">
        <f t="shared" si="71"/>
        <v>76864.848694998276</v>
      </c>
      <c r="EE33" s="13">
        <f t="shared" si="72"/>
        <v>43922.8232928789</v>
      </c>
      <c r="EF33" s="13">
        <f t="shared" si="73"/>
        <v>23908.422299247031</v>
      </c>
      <c r="EG33" s="13">
        <f t="shared" si="74"/>
        <v>29614.002004119575</v>
      </c>
      <c r="EH33" s="13">
        <f t="shared" si="75"/>
        <v>0</v>
      </c>
      <c r="EI33" s="13">
        <f t="shared" si="76"/>
        <v>52592.572033423792</v>
      </c>
      <c r="EJ33" s="13">
        <f t="shared" si="77"/>
        <v>107609.25242622588</v>
      </c>
      <c r="EK33" s="13">
        <f t="shared" si="78"/>
        <v>134831.4381896269</v>
      </c>
      <c r="EL33" s="21">
        <f t="shared" si="120"/>
        <v>1012203.2141003627</v>
      </c>
      <c r="EM33" s="21">
        <f t="shared" si="121"/>
        <v>295033.26264927658</v>
      </c>
      <c r="EN33" s="21">
        <f t="shared" si="79"/>
        <v>15183048211.505442</v>
      </c>
      <c r="EO33" s="21">
        <f t="shared" si="80"/>
        <v>6638248409.6087227</v>
      </c>
      <c r="EP33" s="21">
        <f t="shared" si="81"/>
        <v>12930511781.642183</v>
      </c>
      <c r="EQ33" s="21">
        <f t="shared" si="82"/>
        <v>4539172465.1918945</v>
      </c>
      <c r="ER33" s="21">
        <f t="shared" si="83"/>
        <v>2885187164.638979</v>
      </c>
      <c r="ES33" s="21">
        <f t="shared" si="84"/>
        <v>1012826279.0996104</v>
      </c>
    </row>
    <row r="34" spans="1:149" x14ac:dyDescent="0.25">
      <c r="A34" s="19" t="s">
        <v>9</v>
      </c>
      <c r="B34" s="19">
        <v>0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O34" s="3">
        <v>32</v>
      </c>
      <c r="P34" s="21">
        <f t="shared" si="122"/>
        <v>450507.28597265156</v>
      </c>
      <c r="Q34" s="21">
        <f t="shared" si="123"/>
        <v>419815.18888336571</v>
      </c>
      <c r="R34" s="13">
        <f t="shared" si="135"/>
        <v>692037.16458725464</v>
      </c>
      <c r="S34" s="13">
        <f t="shared" si="85"/>
        <v>512674.05275713565</v>
      </c>
      <c r="T34" s="13">
        <f t="shared" si="86"/>
        <v>399271.29379571223</v>
      </c>
      <c r="U34" s="13">
        <f t="shared" si="87"/>
        <v>326896.07786563033</v>
      </c>
      <c r="V34" s="13">
        <f t="shared" si="88"/>
        <v>267640.32035848626</v>
      </c>
      <c r="W34" s="13">
        <f t="shared" si="89"/>
        <v>167225.29085749169</v>
      </c>
      <c r="X34" s="13">
        <f t="shared" si="90"/>
        <v>79737.215086230659</v>
      </c>
      <c r="Y34" s="13">
        <f t="shared" si="91"/>
        <v>38020.749238756842</v>
      </c>
      <c r="Z34" s="13">
        <f t="shared" si="92"/>
        <v>18129.296298079174</v>
      </c>
      <c r="AA34" s="13">
        <f t="shared" si="93"/>
        <v>8644.5447811123413</v>
      </c>
      <c r="AB34" s="13">
        <f t="shared" si="94"/>
        <v>4121.9677727922144</v>
      </c>
      <c r="AC34" s="13">
        <f t="shared" si="95"/>
        <v>4588.7448402382815</v>
      </c>
      <c r="AD34" s="13">
        <f t="shared" si="96"/>
        <v>47617207.170094058</v>
      </c>
      <c r="AE34" s="13">
        <f t="shared" si="97"/>
        <v>32978517.145735633</v>
      </c>
      <c r="AF34" s="13">
        <f t="shared" si="98"/>
        <v>18515527.085221682</v>
      </c>
      <c r="AG34" s="13">
        <f t="shared" si="99"/>
        <v>15466398.597385468</v>
      </c>
      <c r="AH34" s="21">
        <f t="shared" si="0"/>
        <v>0</v>
      </c>
      <c r="AI34" s="21">
        <f t="shared" si="1"/>
        <v>1538.0221582714071</v>
      </c>
      <c r="AJ34" s="21">
        <f t="shared" si="2"/>
        <v>19753.421903577346</v>
      </c>
      <c r="AK34" s="21">
        <f t="shared" si="3"/>
        <v>89397.474767884996</v>
      </c>
      <c r="AL34" s="21">
        <f t="shared" si="4"/>
        <v>154752.45049780689</v>
      </c>
      <c r="AM34" s="21">
        <f t="shared" si="5"/>
        <v>135487.6909189593</v>
      </c>
      <c r="AN34" s="21">
        <f t="shared" si="6"/>
        <v>74692.787058143862</v>
      </c>
      <c r="AO34" s="21">
        <f t="shared" si="7"/>
        <v>37430.427079523513</v>
      </c>
      <c r="AP34" s="21">
        <f t="shared" si="8"/>
        <v>18031.016428673796</v>
      </c>
      <c r="AQ34" s="21">
        <f t="shared" si="9"/>
        <v>8618.6111467690043</v>
      </c>
      <c r="AR34" s="21">
        <f t="shared" si="10"/>
        <v>4121.9677727922144</v>
      </c>
      <c r="AS34" s="21">
        <f t="shared" si="11"/>
        <v>4588.7448402382815</v>
      </c>
      <c r="AT34" s="21">
        <f t="shared" si="12"/>
        <v>0</v>
      </c>
      <c r="AU34" s="21">
        <f t="shared" si="13"/>
        <v>16489258.572867816</v>
      </c>
      <c r="AV34" s="21">
        <f t="shared" si="14"/>
        <v>18515527.085221682</v>
      </c>
      <c r="AW34" s="21">
        <f t="shared" si="15"/>
        <v>15466398.597385468</v>
      </c>
      <c r="AX34" s="13">
        <f t="shared" si="100"/>
        <v>0.2</v>
      </c>
      <c r="AY34" s="13">
        <f t="shared" si="124"/>
        <v>0.6</v>
      </c>
      <c r="AZ34" s="13">
        <f t="shared" si="125"/>
        <v>1.2658</v>
      </c>
      <c r="BA34" s="13">
        <f t="shared" si="126"/>
        <v>2.1566485413371659</v>
      </c>
      <c r="BB34" s="13">
        <f t="shared" si="127"/>
        <v>3.3190865159203473</v>
      </c>
      <c r="BC34" s="13">
        <f t="shared" si="128"/>
        <v>4.8257388334103872</v>
      </c>
      <c r="BD34" s="13">
        <f t="shared" si="129"/>
        <v>6.742840940452492</v>
      </c>
      <c r="BE34" s="13">
        <f t="shared" si="130"/>
        <v>9.1478466959673863</v>
      </c>
      <c r="BF34" s="13">
        <f t="shared" si="131"/>
        <v>11.10199980397025</v>
      </c>
      <c r="BG34" s="13">
        <f t="shared" si="132"/>
        <v>13.304584179879029</v>
      </c>
      <c r="BH34" s="13">
        <f t="shared" si="133"/>
        <v>15.187899247585619</v>
      </c>
      <c r="BI34" s="13">
        <f t="shared" si="134"/>
        <v>16.898409316924688</v>
      </c>
      <c r="BJ34" s="13">
        <f t="shared" si="16"/>
        <v>4.0000000000000001E-3</v>
      </c>
      <c r="BK34" s="13">
        <f t="shared" si="17"/>
        <v>0.01</v>
      </c>
      <c r="BL34" s="13">
        <f t="shared" si="18"/>
        <v>0.02</v>
      </c>
      <c r="BM34" s="13">
        <f t="shared" si="19"/>
        <v>0.03</v>
      </c>
      <c r="BN34" s="30">
        <f t="shared" si="102"/>
        <v>4693609.7573376363</v>
      </c>
      <c r="BO34" s="30">
        <f t="shared" si="103"/>
        <v>1354556.49976373</v>
      </c>
      <c r="BP34" s="30">
        <f t="shared" si="104"/>
        <v>2687233.9009563322</v>
      </c>
      <c r="BQ34" s="30">
        <f t="shared" si="105"/>
        <v>999195.08535467577</v>
      </c>
      <c r="BR34" s="36">
        <f t="shared" si="20"/>
        <v>0.3</v>
      </c>
      <c r="BS34" s="36">
        <f t="shared" si="21"/>
        <v>0.25</v>
      </c>
      <c r="BT34" s="36">
        <f t="shared" si="22"/>
        <v>0.2</v>
      </c>
      <c r="BU34" s="36">
        <f t="shared" si="23"/>
        <v>0.2</v>
      </c>
      <c r="BV34" s="36">
        <f t="shared" si="24"/>
        <v>0.2</v>
      </c>
      <c r="BW34" s="36">
        <f t="shared" si="25"/>
        <v>0.2</v>
      </c>
      <c r="BX34" s="36">
        <f t="shared" si="26"/>
        <v>0.2</v>
      </c>
      <c r="BY34" s="36">
        <f t="shared" si="27"/>
        <v>0.2</v>
      </c>
      <c r="BZ34" s="36">
        <f t="shared" si="28"/>
        <v>0.2</v>
      </c>
      <c r="CA34" s="36">
        <f t="shared" si="29"/>
        <v>0.2</v>
      </c>
      <c r="CB34" s="36">
        <f t="shared" si="30"/>
        <v>0.2</v>
      </c>
      <c r="CC34" s="36">
        <f t="shared" si="31"/>
        <v>0.2</v>
      </c>
      <c r="CD34" s="35">
        <f t="shared" si="32"/>
        <v>0.36733665103863866</v>
      </c>
      <c r="CE34" s="35">
        <f t="shared" si="33"/>
        <v>0.36733665103863866</v>
      </c>
      <c r="CF34" s="35">
        <f t="shared" si="34"/>
        <v>0.36733665103863866</v>
      </c>
      <c r="CG34" s="35">
        <f t="shared" si="35"/>
        <v>0.36733665103863866</v>
      </c>
      <c r="CH34" s="28">
        <f t="shared" si="36"/>
        <v>0</v>
      </c>
      <c r="CI34" s="28">
        <f t="shared" si="37"/>
        <v>0</v>
      </c>
      <c r="CJ34" s="28">
        <f t="shared" si="38"/>
        <v>15770.461596869594</v>
      </c>
      <c r="CK34" s="28">
        <f t="shared" si="39"/>
        <v>23888.522154511298</v>
      </c>
      <c r="CL34" s="28">
        <f t="shared" si="40"/>
        <v>32524.62108595352</v>
      </c>
      <c r="CM34" s="28">
        <f t="shared" si="41"/>
        <v>31774.112251965766</v>
      </c>
      <c r="CN34" s="28">
        <f t="shared" si="42"/>
        <v>22669.809470007905</v>
      </c>
      <c r="CO34" s="28">
        <f t="shared" si="43"/>
        <v>15649.117931129147</v>
      </c>
      <c r="CP34" s="28">
        <f t="shared" si="44"/>
        <v>9597.7534305914523</v>
      </c>
      <c r="CQ34" s="28">
        <f t="shared" si="45"/>
        <v>5787.5671548851933</v>
      </c>
      <c r="CR34" s="28">
        <f t="shared" si="46"/>
        <v>3303.788955213874</v>
      </c>
      <c r="CS34" s="28">
        <f t="shared" si="47"/>
        <v>4271.2834143850996</v>
      </c>
      <c r="CT34" s="44">
        <f t="shared" si="106"/>
        <v>0</v>
      </c>
      <c r="CU34" s="44">
        <f t="shared" si="107"/>
        <v>0</v>
      </c>
      <c r="CV34" s="44">
        <f t="shared" si="108"/>
        <v>3.9498110287233858E-2</v>
      </c>
      <c r="CW34" s="44">
        <f t="shared" si="109"/>
        <v>7.3076808723078673E-2</v>
      </c>
      <c r="CX34" s="44">
        <f t="shared" si="110"/>
        <v>0.12152362186082041</v>
      </c>
      <c r="CY34" s="44">
        <f t="shared" si="111"/>
        <v>0.19000781573789252</v>
      </c>
      <c r="CZ34" s="44">
        <f t="shared" si="112"/>
        <v>0.28430651165195531</v>
      </c>
      <c r="DA34" s="44">
        <f t="shared" si="113"/>
        <v>0.41159414910154002</v>
      </c>
      <c r="DB34" s="44">
        <f t="shared" si="114"/>
        <v>0.52940573493789433</v>
      </c>
      <c r="DC34" s="44">
        <f t="shared" si="115"/>
        <v>0.66950513895544594</v>
      </c>
      <c r="DD34" s="44">
        <f t="shared" si="116"/>
        <v>0.80150771120073383</v>
      </c>
      <c r="DE34" s="44">
        <f t="shared" si="117"/>
        <v>0.93081737230856854</v>
      </c>
      <c r="DF34" s="21">
        <f t="shared" si="49"/>
        <v>0</v>
      </c>
      <c r="DG34" s="21">
        <f t="shared" si="50"/>
        <v>0</v>
      </c>
      <c r="DH34" s="21">
        <f t="shared" si="51"/>
        <v>0</v>
      </c>
      <c r="DI34" s="21">
        <f t="shared" si="52"/>
        <v>0</v>
      </c>
      <c r="DJ34" s="21">
        <f t="shared" si="118"/>
        <v>57713.107622676143</v>
      </c>
      <c r="DK34" s="21">
        <f t="shared" si="53"/>
        <v>63862.272031495748</v>
      </c>
      <c r="DL34" s="21">
        <f t="shared" si="54"/>
        <v>30451.133885066993</v>
      </c>
      <c r="DM34" s="21">
        <f t="shared" si="55"/>
        <v>14519.881641563285</v>
      </c>
      <c r="DN34" s="21">
        <f t="shared" si="56"/>
        <v>6923.4626293110887</v>
      </c>
      <c r="DO34" s="21">
        <f t="shared" si="57"/>
        <v>3301.2965178234035</v>
      </c>
      <c r="DP34" s="21">
        <f t="shared" si="58"/>
        <v>1574.1532029114242</v>
      </c>
      <c r="DQ34" s="21">
        <f t="shared" si="59"/>
        <v>1752.412387909392</v>
      </c>
      <c r="DR34" s="21">
        <f t="shared" si="60"/>
        <v>0</v>
      </c>
      <c r="DS34" s="21">
        <f t="shared" si="61"/>
        <v>5259267.7108687125</v>
      </c>
      <c r="DT34" s="21">
        <f t="shared" si="62"/>
        <v>5380482.5544661433</v>
      </c>
      <c r="DU34" s="21">
        <f t="shared" si="63"/>
        <v>4494427.1610864485</v>
      </c>
      <c r="DV34" s="13">
        <f t="shared" si="64"/>
        <v>0</v>
      </c>
      <c r="DW34" s="13">
        <f t="shared" si="65"/>
        <v>0</v>
      </c>
      <c r="DX34" s="13">
        <f t="shared" si="66"/>
        <v>0</v>
      </c>
      <c r="DY34" s="13">
        <f t="shared" si="67"/>
        <v>0</v>
      </c>
      <c r="DZ34" s="13">
        <f t="shared" si="68"/>
        <v>191554.79730228419</v>
      </c>
      <c r="EA34" s="13">
        <f t="shared" si="119"/>
        <v>308182.64613220707</v>
      </c>
      <c r="EB34" s="13">
        <f t="shared" si="69"/>
        <v>205327.15224342988</v>
      </c>
      <c r="EC34" s="13">
        <f t="shared" si="70"/>
        <v>132825.6513006122</v>
      </c>
      <c r="ED34" s="13">
        <f t="shared" si="71"/>
        <v>76864.28075340706</v>
      </c>
      <c r="EE34" s="13">
        <f t="shared" si="72"/>
        <v>43922.377424122984</v>
      </c>
      <c r="EF34" s="13">
        <f t="shared" si="73"/>
        <v>23908.080246082911</v>
      </c>
      <c r="EG34" s="13">
        <f t="shared" si="74"/>
        <v>29612.981822942311</v>
      </c>
      <c r="EH34" s="13">
        <f t="shared" si="75"/>
        <v>0</v>
      </c>
      <c r="EI34" s="13">
        <f t="shared" si="76"/>
        <v>52592.677108687123</v>
      </c>
      <c r="EJ34" s="13">
        <f t="shared" si="77"/>
        <v>107609.65108932287</v>
      </c>
      <c r="EK34" s="13">
        <f t="shared" si="78"/>
        <v>134832.81483259346</v>
      </c>
      <c r="EL34" s="21">
        <f t="shared" si="120"/>
        <v>1012197.9672250886</v>
      </c>
      <c r="EM34" s="21">
        <f t="shared" si="121"/>
        <v>295035.14303060342</v>
      </c>
      <c r="EN34" s="21">
        <f t="shared" si="79"/>
        <v>15182969508.376329</v>
      </c>
      <c r="EO34" s="21">
        <f t="shared" si="80"/>
        <v>6638290718.1885767</v>
      </c>
      <c r="EP34" s="21">
        <f t="shared" si="81"/>
        <v>12930433078.513071</v>
      </c>
      <c r="EQ34" s="21">
        <f t="shared" si="82"/>
        <v>4539214773.7717476</v>
      </c>
      <c r="ER34" s="21">
        <f t="shared" si="83"/>
        <v>2744458221.6166949</v>
      </c>
      <c r="ES34" s="21">
        <f t="shared" si="84"/>
        <v>963439138.49747121</v>
      </c>
    </row>
    <row r="35" spans="1:149" x14ac:dyDescent="0.25">
      <c r="A35" s="19" t="s">
        <v>106</v>
      </c>
      <c r="B35" s="19">
        <v>0.2</v>
      </c>
      <c r="C35" s="19">
        <v>0.39999999999999997</v>
      </c>
      <c r="D35" s="19">
        <v>0.66580000000000006</v>
      </c>
      <c r="E35" s="19">
        <v>0.86319999999999997</v>
      </c>
      <c r="F35" s="19">
        <v>1.1164000000000001</v>
      </c>
      <c r="G35" s="19">
        <v>1.4386000000000001</v>
      </c>
      <c r="H35" s="19">
        <v>1.8239999999999998</v>
      </c>
      <c r="I35" s="19">
        <v>2.2855999999999996</v>
      </c>
      <c r="J35" s="19">
        <v>1.8101000000000003</v>
      </c>
      <c r="K35" s="19">
        <v>2.0173000000000005</v>
      </c>
      <c r="L35" s="19">
        <v>1.6489999999999991</v>
      </c>
      <c r="M35" s="19">
        <v>1.4299999999999997</v>
      </c>
      <c r="O35" s="3">
        <v>33</v>
      </c>
      <c r="P35" s="21">
        <f t="shared" si="122"/>
        <v>450507.28597265156</v>
      </c>
      <c r="Q35" s="21">
        <f t="shared" si="123"/>
        <v>419815.18888336571</v>
      </c>
      <c r="R35" s="13">
        <f t="shared" si="135"/>
        <v>692036.86244856042</v>
      </c>
      <c r="S35" s="13">
        <f t="shared" si="85"/>
        <v>512673.74091515114</v>
      </c>
      <c r="T35" s="13">
        <f t="shared" si="86"/>
        <v>399270.95374764799</v>
      </c>
      <c r="U35" s="13">
        <f t="shared" si="87"/>
        <v>326895.68705178361</v>
      </c>
      <c r="V35" s="13">
        <f t="shared" si="88"/>
        <v>267639.87200916611</v>
      </c>
      <c r="W35" s="13">
        <f t="shared" si="89"/>
        <v>167224.90105319754</v>
      </c>
      <c r="X35" s="13">
        <f t="shared" si="90"/>
        <v>79736.959189092697</v>
      </c>
      <c r="Y35" s="13">
        <f t="shared" si="91"/>
        <v>38020.583086328312</v>
      </c>
      <c r="Z35" s="13">
        <f t="shared" si="92"/>
        <v>18129.189160586015</v>
      </c>
      <c r="AA35" s="13">
        <f t="shared" si="93"/>
        <v>8644.4756749074404</v>
      </c>
      <c r="AB35" s="13">
        <f t="shared" si="94"/>
        <v>4121.9226522813897</v>
      </c>
      <c r="AC35" s="13">
        <f t="shared" si="95"/>
        <v>4588.6293868309258</v>
      </c>
      <c r="AD35" s="13">
        <f t="shared" si="96"/>
        <v>47617221.015522689</v>
      </c>
      <c r="AE35" s="13">
        <f t="shared" si="97"/>
        <v>32978556.263294999</v>
      </c>
      <c r="AF35" s="13">
        <f t="shared" si="98"/>
        <v>18515572.012119398</v>
      </c>
      <c r="AG35" s="13">
        <f t="shared" si="99"/>
        <v>15466508.524081159</v>
      </c>
      <c r="AH35" s="21">
        <f t="shared" ref="AH35:AH66" si="137">R35*B$32</f>
        <v>0</v>
      </c>
      <c r="AI35" s="21">
        <f t="shared" ref="AI35:AI66" si="138">S35*C$32</f>
        <v>1538.0212227454535</v>
      </c>
      <c r="AJ35" s="21">
        <f t="shared" ref="AJ35:AJ66" si="139">T35*D$32</f>
        <v>19753.405080146797</v>
      </c>
      <c r="AK35" s="21">
        <f t="shared" ref="AK35:AK66" si="140">U35*E$32</f>
        <v>89397.367890582493</v>
      </c>
      <c r="AL35" s="21">
        <f t="shared" ref="AL35:AL66" si="141">V35*F$32</f>
        <v>154752.19125751051</v>
      </c>
      <c r="AM35" s="21">
        <f t="shared" ref="AM35:AM66" si="142">W35*G$32</f>
        <v>135487.37509541697</v>
      </c>
      <c r="AN35" s="21">
        <f t="shared" ref="AN35:AN66" si="143">X35*H$32</f>
        <v>74692.547349866945</v>
      </c>
      <c r="AO35" s="21">
        <f t="shared" ref="AO35:AO66" si="144">Y35*I$32</f>
        <v>37430.263506830051</v>
      </c>
      <c r="AP35" s="21">
        <f t="shared" ref="AP35:AP66" si="145">Z35*J$32</f>
        <v>18030.909871978627</v>
      </c>
      <c r="AQ35" s="21">
        <f t="shared" ref="AQ35:AQ66" si="146">AA35*K$32</f>
        <v>8618.5422478827186</v>
      </c>
      <c r="AR35" s="21">
        <f t="shared" ref="AR35:AR66" si="147">AB35*L$32</f>
        <v>4121.9226522813897</v>
      </c>
      <c r="AS35" s="21">
        <f t="shared" ref="AS35:AS66" si="148">AC35*M$32</f>
        <v>4588.6293868309258</v>
      </c>
      <c r="AT35" s="21">
        <f t="shared" ref="AT35:AT66" si="149">AD35*B$44</f>
        <v>0</v>
      </c>
      <c r="AU35" s="21">
        <f t="shared" ref="AU35:AU66" si="150">AE35*C$44</f>
        <v>16489278.131647499</v>
      </c>
      <c r="AV35" s="21">
        <f t="shared" ref="AV35:AV66" si="151">AF35*D$44</f>
        <v>18515572.012119398</v>
      </c>
      <c r="AW35" s="21">
        <f t="shared" ref="AW35:AW66" si="152">AG35*E$44</f>
        <v>15466508.524081159</v>
      </c>
      <c r="AX35" s="13">
        <f t="shared" si="100"/>
        <v>0.2</v>
      </c>
      <c r="AY35" s="13">
        <f t="shared" si="124"/>
        <v>0.6</v>
      </c>
      <c r="AZ35" s="13">
        <f t="shared" si="125"/>
        <v>1.2658</v>
      </c>
      <c r="BA35" s="13">
        <f t="shared" si="126"/>
        <v>2.1566486772010638</v>
      </c>
      <c r="BB35" s="13">
        <f t="shared" si="127"/>
        <v>3.3190869308327056</v>
      </c>
      <c r="BC35" s="13">
        <f t="shared" si="128"/>
        <v>4.8257397441624077</v>
      </c>
      <c r="BD35" s="13">
        <f t="shared" si="129"/>
        <v>6.7428426631219542</v>
      </c>
      <c r="BE35" s="13">
        <f t="shared" si="130"/>
        <v>9.1478496753463112</v>
      </c>
      <c r="BF35" s="13">
        <f t="shared" si="131"/>
        <v>11.102004648152926</v>
      </c>
      <c r="BG35" s="13">
        <f t="shared" si="132"/>
        <v>13.304591811198513</v>
      </c>
      <c r="BH35" s="13">
        <f t="shared" si="133"/>
        <v>15.187910978513434</v>
      </c>
      <c r="BI35" s="13">
        <f t="shared" si="134"/>
        <v>16.898426946505875</v>
      </c>
      <c r="BJ35" s="13">
        <f t="shared" ref="BJ35:BJ66" si="153">B$46+B$47*SUM($AH35:$AK35)/SUM($AT35:$AU35)</f>
        <v>4.0000000000000001E-3</v>
      </c>
      <c r="BK35" s="13">
        <f t="shared" ref="BK35:BK66" si="154">C$46+C$47*SUM($AH35:$AK35)/SUM($AT35:$AU35)</f>
        <v>0.01</v>
      </c>
      <c r="BL35" s="13">
        <f t="shared" ref="BL35:BL66" si="155">D$46+D$47*SUM($AH35:$AK35)/SUM($AT35:$AU35)</f>
        <v>0.02</v>
      </c>
      <c r="BM35" s="13">
        <f t="shared" ref="BM35:BM66" si="156">E$46+E$47*SUM($AH35:$AK35)/SUM($AT35:$AU35)</f>
        <v>0.03</v>
      </c>
      <c r="BN35" s="30">
        <f t="shared" si="102"/>
        <v>4693597.7182131838</v>
      </c>
      <c r="BO35" s="30">
        <f t="shared" si="103"/>
        <v>1354561.1426598635</v>
      </c>
      <c r="BP35" s="30">
        <f t="shared" si="104"/>
        <v>2687224.1378042228</v>
      </c>
      <c r="BQ35" s="30">
        <f t="shared" si="105"/>
        <v>999199.47728129779</v>
      </c>
      <c r="BR35" s="36">
        <f t="shared" ref="BR35:BR66" si="157">B$33</f>
        <v>0.3</v>
      </c>
      <c r="BS35" s="36">
        <f t="shared" ref="BS35:BS66" si="158">C$33</f>
        <v>0.25</v>
      </c>
      <c r="BT35" s="36">
        <f t="shared" ref="BT35:BT66" si="159">D$33</f>
        <v>0.2</v>
      </c>
      <c r="BU35" s="36">
        <f t="shared" ref="BU35:BU66" si="160">E$33</f>
        <v>0.2</v>
      </c>
      <c r="BV35" s="36">
        <f t="shared" ref="BV35:BV66" si="161">F$33</f>
        <v>0.2</v>
      </c>
      <c r="BW35" s="36">
        <f t="shared" ref="BW35:BW66" si="162">G$33</f>
        <v>0.2</v>
      </c>
      <c r="BX35" s="36">
        <f t="shared" ref="BX35:BX66" si="163">H$33</f>
        <v>0.2</v>
      </c>
      <c r="BY35" s="36">
        <f t="shared" ref="BY35:BY66" si="164">I$33</f>
        <v>0.2</v>
      </c>
      <c r="BZ35" s="36">
        <f t="shared" ref="BZ35:BZ66" si="165">J$33</f>
        <v>0.2</v>
      </c>
      <c r="CA35" s="36">
        <f t="shared" ref="CA35:CA66" si="166">K$33</f>
        <v>0.2</v>
      </c>
      <c r="CB35" s="36">
        <f t="shared" ref="CB35:CB66" si="167">L$33</f>
        <v>0.2</v>
      </c>
      <c r="CC35" s="36">
        <f t="shared" ref="CC35:CC66" si="168">M$33</f>
        <v>0.2</v>
      </c>
      <c r="CD35" s="35">
        <f t="shared" ref="CD35:CD66" si="169">B$45+SUMPRODUCT($B$38:$M$38,$R35:$AC35)</f>
        <v>0.36733608564570852</v>
      </c>
      <c r="CE35" s="35">
        <f t="shared" ref="CE35:CE66" si="170">C$45+SUMPRODUCT($B$38:$M$38,$R35:$AC35)</f>
        <v>0.36733608564570852</v>
      </c>
      <c r="CF35" s="35">
        <f t="shared" ref="CF35:CF66" si="171">D$45+SUMPRODUCT($B$38:$M$38,$R35:$AC35)</f>
        <v>0.36733608564570852</v>
      </c>
      <c r="CG35" s="35">
        <f t="shared" ref="CG35:CG66" si="172">E$45+SUMPRODUCT($B$38:$M$38,$R35:$AC35)</f>
        <v>0.36733608564570852</v>
      </c>
      <c r="CH35" s="28">
        <f t="shared" ref="CH35:CH66" si="173">B$38*R35/($CD35+$Q35*$B$43)*$AD35*(1-EXP(-($CD35+$Q35*$B$43)))*$BJ35+B$39*R35/($CE35+$Q35*$C$43)*$AE35*(1-EXP(-($CE35+$Q35*$C$43)))*$BK35+B$40*R35/($CF35+$Q35*$D$43)*$AF35*(1-EXP(-($CF35+$Q35*$D$43)))*$BL35+B$41*R35/($CG35+$Q35*$E$43)*$AG35*(1-EXP(-($CG35+$Q35*$E$43)))*$BM35</f>
        <v>0</v>
      </c>
      <c r="CI35" s="28">
        <f t="shared" ref="CI35:CI66" si="174">C$38*S35/($CD35+$Q35*$B$43)*$AD35*(1-EXP(-($CD35+$Q35*$B$43)))*$BJ35+C$39*S35/($CE35+$Q35*$C$43)*$AE35*(1-EXP(-($CE35+$Q35*$C$43)))*$BK35+C$40*S35/($CF35+$Q35*$D$43)*$AF35*(1-EXP(-($CF35+$Q35*$D$43)))*$BL35+C$41*S35/($CG35+$Q35*$E$43)*$AG35*(1-EXP(-($CG35+$Q35*$E$43)))*$BM35</f>
        <v>0</v>
      </c>
      <c r="CJ35" s="28">
        <f t="shared" ref="CJ35:CJ66" si="175">D$38*T35/($CD35+$Q35*$B$43)*$AD35*(1-EXP(-($CD35+$Q35*$B$43)))*$BJ35+D$39*T35/($CE35+$Q35*$C$43)*$AE35*(1-EXP(-($CE35+$Q35*$C$43)))*$BK35+D$40*T35/($CF35+$Q35*$D$43)*$AF35*(1-EXP(-($CF35+$Q35*$D$43)))*$BL35+D$41*T35/($CG35+$Q35*$E$43)*$AG35*(1-EXP(-($CG35+$Q35*$E$43)))*$BM35</f>
        <v>15770.504009838411</v>
      </c>
      <c r="CK35" s="28">
        <f t="shared" ref="CK35:CK66" si="176">E$38*U35/($CD35+$Q35*$B$43)*$AD35*(1-EXP(-($CD35+$Q35*$B$43)))*$BJ35+E$39*U35/($CE35+$Q35*$C$43)*$AE35*(1-EXP(-($CE35+$Q35*$C$43)))*$BK35+E$40*U35/($CF35+$Q35*$D$43)*$AF35*(1-EXP(-($CF35+$Q35*$D$43)))*$BL35+E$41*U35/($CG35+$Q35*$E$43)*$AG35*(1-EXP(-($CG35+$Q35*$E$43)))*$BM35</f>
        <v>23888.578185855869</v>
      </c>
      <c r="CL35" s="28">
        <f t="shared" ref="CL35:CL66" si="177">F$38*V35/($CD35+$Q35*$B$43)*$AD35*(1-EXP(-($CD35+$Q35*$B$43)))*$BJ35+F$39*V35/($CE35+$Q35*$C$43)*$AE35*(1-EXP(-($CE35+$Q35*$C$43)))*$BK35+F$40*V35/($CF35+$Q35*$D$43)*$AF35*(1-EXP(-($CF35+$Q35*$D$43)))*$BL35+F$41*V35/($CG35+$Q35*$E$43)*$AG35*(1-EXP(-($CG35+$Q35*$E$43)))*$BM35</f>
        <v>32524.681772612825</v>
      </c>
      <c r="CM35" s="28">
        <f t="shared" ref="CM35:CM66" si="178">G$38*W35/($CD35+$Q35*$B$43)*$AD35*(1-EXP(-($CD35+$Q35*$B$43)))*$BJ35+G$39*W35/($CE35+$Q35*$C$43)*$AE35*(1-EXP(-($CE35+$Q35*$C$43)))*$BK35+G$40*W35/($CF35+$Q35*$D$43)*$AF35*(1-EXP(-($CF35+$Q35*$D$43)))*$BL35+G$41*W35/($CG35+$Q35*$E$43)*$AG35*(1-EXP(-($CG35+$Q35*$E$43)))*$BM35</f>
        <v>31774.150700123886</v>
      </c>
      <c r="CN35" s="28">
        <f t="shared" ref="CN35:CN66" si="179">H$38*X35/($CD35+$Q35*$B$43)*$AD35*(1-EXP(-($CD35+$Q35*$B$43)))*$BJ35+H$39*X35/($CE35+$Q35*$C$43)*$AE35*(1-EXP(-($CE35+$Q35*$C$43)))*$BK35+H$40*X35/($CF35+$Q35*$D$43)*$AF35*(1-EXP(-($CF35+$Q35*$D$43)))*$BL35+H$41*X35/($CG35+$Q35*$E$43)*$AG35*(1-EXP(-($CG35+$Q35*$E$43)))*$BM35</f>
        <v>22669.816991857937</v>
      </c>
      <c r="CO35" s="28">
        <f t="shared" ref="CO35:CO66" si="180">I$38*Y35/($CD35+$Q35*$B$43)*$AD35*(1-EXP(-($CD35+$Q35*$B$43)))*$BJ35+I$39*Y35/($CE35+$Q35*$C$43)*$AE35*(1-EXP(-($CE35+$Q35*$C$43)))*$BK35+I$40*Y35/($CF35+$Q35*$D$43)*$AF35*(1-EXP(-($CF35+$Q35*$D$43)))*$BL35+I$41*Y35/($CG35+$Q35*$E$43)*$AG35*(1-EXP(-($CG35+$Q35*$E$43)))*$BM35</f>
        <v>15649.104958105729</v>
      </c>
      <c r="CP35" s="28">
        <f t="shared" ref="CP35:CP66" si="181">J$38*Z35/($CD35+$Q35*$B$43)*$AD35*(1-EXP(-($CD35+$Q35*$B$43)))*$BJ35+J$39*Z35/($CE35+$Q35*$C$43)*$AE35*(1-EXP(-($CE35+$Q35*$C$43)))*$BK35+J$40*Z35/($CF35+$Q35*$D$43)*$AF35*(1-EXP(-($CF35+$Q35*$D$43)))*$BL35+J$41*Z35/($CG35+$Q35*$E$43)*$AG35*(1-EXP(-($CG35+$Q35*$E$43)))*$BM35</f>
        <v>9597.7306974820567</v>
      </c>
      <c r="CQ35" s="28">
        <f t="shared" ref="CQ35:CQ66" si="182">K$38*AA35/($CD35+$Q35*$B$43)*$AD35*(1-EXP(-($CD35+$Q35*$B$43)))*$BJ35+K$39*AA35/($CE35+$Q35*$C$43)*$AE35*(1-EXP(-($CE35+$Q35*$C$43)))*$BK35+K$40*AA35/($CF35+$Q35*$D$43)*$AF35*(1-EXP(-($CF35+$Q35*$D$43)))*$BL35+K$41*AA35/($CG35+$Q35*$E$43)*$AG35*(1-EXP(-($CG35+$Q35*$E$43)))*$BM35</f>
        <v>5787.5413819292107</v>
      </c>
      <c r="CR35" s="28">
        <f t="shared" ref="CR35:CR66" si="183">L$38*AB35/($CD35+$Q35*$B$43)*$AD35*(1-EXP(-($CD35+$Q35*$B$43)))*$BJ35+L$39*AB35/($CE35+$Q35*$C$43)*$AE35*(1-EXP(-($CE35+$Q35*$C$43)))*$BK35+L$40*AB35/($CF35+$Q35*$D$43)*$AF35*(1-EXP(-($CF35+$Q35*$D$43)))*$BL35+L$41*AB35/($CG35+$Q35*$E$43)*$AG35*(1-EXP(-($CG35+$Q35*$E$43)))*$BM35</f>
        <v>3303.7644895888416</v>
      </c>
      <c r="CS35" s="28">
        <f t="shared" ref="CS35:CS66" si="184">M$38*AC35/($CD35+$Q35*$B$43)*$AD35*(1-EXP(-($CD35+$Q35*$B$43)))*$BJ35+M$39*AC35/($CE35+$Q35*$C$43)*$AE35*(1-EXP(-($CE35+$Q35*$C$43)))*$BK35+M$40*AC35/($CF35+$Q35*$D$43)*$AF35*(1-EXP(-($CF35+$Q35*$D$43)))*$BL35+M$41*AC35/($CG35+$Q35*$E$43)*$AG35*(1-EXP(-($CG35+$Q35*$E$43)))*$BM35</f>
        <v>4271.1910728710718</v>
      </c>
      <c r="CT35" s="44">
        <f t="shared" si="106"/>
        <v>0</v>
      </c>
      <c r="CU35" s="44">
        <f t="shared" si="107"/>
        <v>0</v>
      </c>
      <c r="CV35" s="44">
        <f t="shared" si="108"/>
        <v>3.9498250152716775E-2</v>
      </c>
      <c r="CW35" s="44">
        <f t="shared" si="109"/>
        <v>7.307706749300634E-2</v>
      </c>
      <c r="CX35" s="44">
        <f t="shared" si="110"/>
        <v>0.1215240521841937</v>
      </c>
      <c r="CY35" s="44">
        <f t="shared" si="111"/>
        <v>0.19000848856843339</v>
      </c>
      <c r="CZ35" s="44">
        <f t="shared" si="112"/>
        <v>0.28430751840056329</v>
      </c>
      <c r="DA35" s="44">
        <f t="shared" si="113"/>
        <v>0.41159560658429079</v>
      </c>
      <c r="DB35" s="44">
        <f t="shared" si="114"/>
        <v>0.52940760959944755</v>
      </c>
      <c r="DC35" s="44">
        <f t="shared" si="115"/>
        <v>0.66950750971847461</v>
      </c>
      <c r="DD35" s="44">
        <f t="shared" si="116"/>
        <v>0.80151054939380861</v>
      </c>
      <c r="DE35" s="44">
        <f t="shared" si="117"/>
        <v>0.93082066839590882</v>
      </c>
      <c r="DF35" s="21">
        <f t="shared" ref="DF35:DF66" si="185">$P35*B$31/($P35*B$31+BR35)*R35*(1-EXP(-($P35*B$31+BR35)))</f>
        <v>0</v>
      </c>
      <c r="DG35" s="21">
        <f t="shared" ref="DG35:DG66" si="186">$P35*C$31/($P35*C$31+BS35)*S35*(1-EXP(-($P35*C$31+BS35)))</f>
        <v>0</v>
      </c>
      <c r="DH35" s="21">
        <f t="shared" ref="DH35:DH66" si="187">$P35*D$31/($P35*D$31+BT35)*T35*(1-EXP(-($P35*D$31+BT35)))</f>
        <v>0</v>
      </c>
      <c r="DI35" s="21">
        <f t="shared" ref="DI35:DI66" si="188">$P35*E$31/($P35*E$31+BU35)*U35*(1-EXP(-($P35*E$31+BU35)))</f>
        <v>0</v>
      </c>
      <c r="DJ35" s="21">
        <f t="shared" ref="DJ35:DJ66" si="189">$P35*F$31/($P35*F$31+BV35)*V35*(1-EXP(-($P35*F$31+BV35)))</f>
        <v>57713.010942054432</v>
      </c>
      <c r="DK35" s="21">
        <f t="shared" ref="DK35:DK66" si="190">$P35*G$31/($P35*G$31+BW35)*W35*(1-EXP(-($P35*G$31+BW35)))</f>
        <v>63862.12316772194</v>
      </c>
      <c r="DL35" s="21">
        <f t="shared" ref="DL35:DL66" si="191">$P35*H$31/($P35*H$31+BX35)*X35*(1-EXP(-($P35*H$31+BX35)))</f>
        <v>30451.03615958209</v>
      </c>
      <c r="DM35" s="21">
        <f t="shared" ref="DM35:DM66" si="192">$P35*I$31/($P35*I$31+BY35)*Y35*(1-EXP(-($P35*I$31+BY35)))</f>
        <v>14519.818189010533</v>
      </c>
      <c r="DN35" s="21">
        <f t="shared" ref="DN35:DN66" si="193">$P35*J$31/($P35*J$31+BZ35)*Z35*(1-EXP(-($P35*J$31+BZ35)))</f>
        <v>6923.4217141857634</v>
      </c>
      <c r="DO35" s="21">
        <f t="shared" ref="DO35:DO66" si="194">$P35*K$31/($P35*K$31+CA35)*AA35*(1-EXP(-($P35*K$31+CA35)))</f>
        <v>3301.2701266045051</v>
      </c>
      <c r="DP35" s="21">
        <f t="shared" ref="DP35:DP66" si="195">$P35*L$31/($P35*L$31+CB35)*AB35*(1-EXP(-($P35*L$31+CB35)))</f>
        <v>1574.1359716761147</v>
      </c>
      <c r="DQ35" s="21">
        <f t="shared" ref="DQ35:DQ66" si="196">$P35*M$31/($P35*M$31+CC35)*AC35*(1-EXP(-($P35*M$31+CC35)))</f>
        <v>1752.3682969894735</v>
      </c>
      <c r="DR35" s="21">
        <f t="shared" ref="DR35:DR66" si="197">$Q35*B$43/($Q35*B$43+CD35)*AD35*(1-EXP(-($Q35*B$43+CD35)))</f>
        <v>0</v>
      </c>
      <c r="DS35" s="21">
        <f t="shared" ref="DS35:DS66" si="198">$Q35*C$43/($Q35*C$43+CE35)*AE35*(1-EXP(-($Q35*C$43+CE35)))</f>
        <v>5259275.2936911518</v>
      </c>
      <c r="DT35" s="21">
        <f t="shared" ref="DT35:DT66" si="199">$Q35*D$43/($Q35*D$43+CF35)*AF35*(1-EXP(-($Q35*D$43+CF35)))</f>
        <v>5380496.9334370308</v>
      </c>
      <c r="DU35" s="21">
        <f t="shared" ref="DU35:DU66" si="200">$Q35*E$43/($Q35*E$43+CG35)*AG35*(1-EXP(-($Q35*E$43+CG35)))</f>
        <v>4494460.2105906438</v>
      </c>
      <c r="DV35" s="13">
        <f t="shared" ref="DV35:DV66" si="201">DF35*AX35</f>
        <v>0</v>
      </c>
      <c r="DW35" s="13">
        <f t="shared" ref="DW35:DW66" si="202">DG35*AY35</f>
        <v>0</v>
      </c>
      <c r="DX35" s="13">
        <f t="shared" ref="DX35:DX66" si="203">DH35*AZ35</f>
        <v>0</v>
      </c>
      <c r="DY35" s="13">
        <f t="shared" ref="DY35:DY66" si="204">DI35*BA35</f>
        <v>0</v>
      </c>
      <c r="DZ35" s="13">
        <f t="shared" ref="DZ35:DZ66" si="205">DJ35*BB35</f>
        <v>191554.5003567778</v>
      </c>
      <c r="EA35" s="13">
        <f t="shared" ref="EA35:EA66" si="206">DK35*BC35</f>
        <v>308181.98591707065</v>
      </c>
      <c r="EB35" s="13">
        <f t="shared" ref="EB35:EB66" si="207">DL35*BD35</f>
        <v>205326.54575309943</v>
      </c>
      <c r="EC35" s="13">
        <f t="shared" ref="EC35:EC66" si="208">DM35*BE35</f>
        <v>132825.11410642747</v>
      </c>
      <c r="ED35" s="13">
        <f t="shared" ref="ED35:ED66" si="209">DN35*BF35</f>
        <v>76863.860052013246</v>
      </c>
      <c r="EE35" s="13">
        <f t="shared" ref="EE35:EE66" si="210">DO35*BG35</f>
        <v>43922.051492976578</v>
      </c>
      <c r="EF35" s="13">
        <f t="shared" ref="EF35:EF66" si="211">DP35*BH35</f>
        <v>23907.837005892576</v>
      </c>
      <c r="EG35" s="13">
        <f t="shared" ref="EG35:EG66" si="212">DQ35*BI35</f>
        <v>29612.267650049529</v>
      </c>
      <c r="EH35" s="13">
        <f t="shared" ref="EH35:EH66" si="213">DR35*BJ35</f>
        <v>0</v>
      </c>
      <c r="EI35" s="13">
        <f t="shared" ref="EI35:EI66" si="214">DS35*BK35</f>
        <v>52592.752936911522</v>
      </c>
      <c r="EJ35" s="13">
        <f t="shared" ref="EJ35:EJ66" si="215">DT35*BL35</f>
        <v>107609.93866874062</v>
      </c>
      <c r="EK35" s="13">
        <f t="shared" ref="EK35:EK66" si="216">DU35*BM35</f>
        <v>134833.80631771931</v>
      </c>
      <c r="EL35" s="21">
        <f t="shared" si="120"/>
        <v>1012194.1623343073</v>
      </c>
      <c r="EM35" s="21">
        <f t="shared" si="121"/>
        <v>295036.4979233715</v>
      </c>
      <c r="EN35" s="21">
        <f t="shared" ref="EN35:EN66" si="217">EL35*$B$21</f>
        <v>15182912435.01461</v>
      </c>
      <c r="EO35" s="21">
        <f t="shared" ref="EO35:EO66" si="218">EM35*$B$22</f>
        <v>6638321203.2758589</v>
      </c>
      <c r="EP35" s="21">
        <f t="shared" ref="EP35:EP66" si="219">EN35-$B$23*P35</f>
        <v>12930376005.151352</v>
      </c>
      <c r="EQ35" s="21">
        <f t="shared" ref="EQ35:EQ66" si="220">EO35-$B$24*Q36</f>
        <v>4539245258.8590298</v>
      </c>
      <c r="ER35" s="21">
        <f t="shared" ref="ER35:ER66" si="221">EP35*EXP(-$B$20*($O35-1))</f>
        <v>2610597891.8017001</v>
      </c>
      <c r="ES35" s="21">
        <f t="shared" ref="ES35:ES66" si="222">EQ35*EXP(-$B$20*($O35-1))</f>
        <v>916457812.08738625</v>
      </c>
    </row>
    <row r="36" spans="1:149" x14ac:dyDescent="0.25">
      <c r="A36" s="19" t="s">
        <v>11</v>
      </c>
      <c r="B36" s="19">
        <f>IF($B$56=0,B58,B59)</f>
        <v>0</v>
      </c>
      <c r="C36" s="19">
        <f t="shared" ref="C36:M36" si="223">IF($B$56=0,C58,C59)</f>
        <v>0</v>
      </c>
      <c r="D36" s="19">
        <f t="shared" si="223"/>
        <v>0.7</v>
      </c>
      <c r="E36" s="19">
        <f t="shared" si="223"/>
        <v>0.63</v>
      </c>
      <c r="F36" s="19">
        <f t="shared" si="223"/>
        <v>0.55999999999999994</v>
      </c>
      <c r="G36" s="19">
        <f t="shared" si="223"/>
        <v>0.48999999999999994</v>
      </c>
      <c r="H36" s="19">
        <f t="shared" si="223"/>
        <v>0.42</v>
      </c>
      <c r="I36" s="19">
        <f t="shared" si="223"/>
        <v>0.35</v>
      </c>
      <c r="J36" s="19">
        <f t="shared" si="223"/>
        <v>0.35</v>
      </c>
      <c r="K36" s="19">
        <f t="shared" si="223"/>
        <v>0.35</v>
      </c>
      <c r="L36" s="19">
        <f t="shared" si="223"/>
        <v>0.35</v>
      </c>
      <c r="M36" s="19">
        <f t="shared" si="223"/>
        <v>0.35</v>
      </c>
      <c r="O36" s="3">
        <v>34</v>
      </c>
      <c r="P36" s="21">
        <f t="shared" si="122"/>
        <v>450507.28597265156</v>
      </c>
      <c r="Q36" s="21">
        <f t="shared" si="123"/>
        <v>419815.18888336571</v>
      </c>
      <c r="R36" s="13">
        <f t="shared" si="135"/>
        <v>692036.64450167294</v>
      </c>
      <c r="S36" s="13">
        <f t="shared" ref="S36:S67" si="224">R35*EXP(-($P35*B$31+BR35))</f>
        <v>512673.51708530128</v>
      </c>
      <c r="T36" s="13">
        <f t="shared" ref="T36:T67" si="225">S35*EXP(-($P35*C$31+BS35))</f>
        <v>399270.71088486625</v>
      </c>
      <c r="U36" s="13">
        <f t="shared" ref="U36:U67" si="226">T35*EXP(-($P35*D$31+BT35))</f>
        <v>326895.40864397591</v>
      </c>
      <c r="V36" s="13">
        <f t="shared" ref="V36:V67" si="227">U35*EXP(-($P35*E$31+BU35))</f>
        <v>267639.55203785107</v>
      </c>
      <c r="W36" s="13">
        <f t="shared" ref="W36:W67" si="228">V35*EXP(-($P35*F$31+BV35))</f>
        <v>167224.62091913327</v>
      </c>
      <c r="X36" s="13">
        <f t="shared" ref="X36:X67" si="229">W35*EXP(-($P35*G$31+BW35))</f>
        <v>79736.773321219865</v>
      </c>
      <c r="Y36" s="13">
        <f t="shared" ref="Y36:Y67" si="230">X35*EXP(-($P35*H$31+BX35))</f>
        <v>38020.461068542951</v>
      </c>
      <c r="Z36" s="13">
        <f t="shared" ref="Z36:Z67" si="231">Y35*EXP(-($P35*I$31+BY35))</f>
        <v>18129.109935192864</v>
      </c>
      <c r="AA36" s="13">
        <f t="shared" ref="AA36:AA67" si="232">Z35*EXP(-($P35*J$31+BZ35))</f>
        <v>8644.424589226106</v>
      </c>
      <c r="AB36" s="13">
        <f t="shared" ref="AB36:AB67" si="233">AA35*EXP(-($P35*K$31+CA35))</f>
        <v>4121.8897008144704</v>
      </c>
      <c r="AC36" s="13">
        <f t="shared" ref="AC36:AC67" si="234">AB35*EXP(-($P35*L$31+DR35))+AC35*EXP(-($P35*M$31+CC35))</f>
        <v>4588.5480580282774</v>
      </c>
      <c r="AD36" s="13">
        <f t="shared" ref="AD36:AD67" si="235">$B$28*BQ35/($B$29+BQ35)</f>
        <v>47617230.989784673</v>
      </c>
      <c r="AE36" s="13">
        <f t="shared" ref="AE36:AE67" si="236">AD35*EXP(-($Q35*B$43+CD35))</f>
        <v>32978584.498166051</v>
      </c>
      <c r="AF36" s="13">
        <f t="shared" ref="AF36:AF67" si="237">AE35*EXP(-($Q35*C$43+CE35))</f>
        <v>18515604.443005264</v>
      </c>
      <c r="AG36" s="13">
        <f t="shared" ref="AG36:AG67" si="238">AF35*EXP(-($Q35*D$43+CF35))+AG35*EXP(-($Q35*E$43+CG35))</f>
        <v>15466587.748728035</v>
      </c>
      <c r="AH36" s="21">
        <f t="shared" si="137"/>
        <v>0</v>
      </c>
      <c r="AI36" s="21">
        <f t="shared" si="138"/>
        <v>1538.0205512559039</v>
      </c>
      <c r="AJ36" s="21">
        <f t="shared" si="139"/>
        <v>19753.393064830227</v>
      </c>
      <c r="AK36" s="21">
        <f t="shared" si="140"/>
        <v>89397.291753373604</v>
      </c>
      <c r="AL36" s="21">
        <f t="shared" si="141"/>
        <v>154752.00624672804</v>
      </c>
      <c r="AM36" s="21">
        <f t="shared" si="142"/>
        <v>135487.14812784933</v>
      </c>
      <c r="AN36" s="21">
        <f t="shared" si="143"/>
        <v>74692.373240582703</v>
      </c>
      <c r="AO36" s="21">
        <f t="shared" si="144"/>
        <v>37430.143383531358</v>
      </c>
      <c r="AP36" s="21">
        <f t="shared" si="145"/>
        <v>18030.831076070503</v>
      </c>
      <c r="AQ36" s="21">
        <f t="shared" si="146"/>
        <v>8618.4913154584283</v>
      </c>
      <c r="AR36" s="21">
        <f t="shared" si="147"/>
        <v>4121.8897008144704</v>
      </c>
      <c r="AS36" s="21">
        <f t="shared" si="148"/>
        <v>4588.5480580282774</v>
      </c>
      <c r="AT36" s="21">
        <f t="shared" si="149"/>
        <v>0</v>
      </c>
      <c r="AU36" s="21">
        <f t="shared" si="150"/>
        <v>16489292.249083025</v>
      </c>
      <c r="AV36" s="21">
        <f t="shared" si="151"/>
        <v>18515604.443005264</v>
      </c>
      <c r="AW36" s="21">
        <f t="shared" si="152"/>
        <v>15466587.748728035</v>
      </c>
      <c r="AX36" s="13">
        <f t="shared" si="100"/>
        <v>0.2</v>
      </c>
      <c r="AY36" s="13">
        <f t="shared" si="124"/>
        <v>0.6</v>
      </c>
      <c r="AZ36" s="13">
        <f t="shared" si="125"/>
        <v>1.2658</v>
      </c>
      <c r="BA36" s="13">
        <f t="shared" si="126"/>
        <v>2.1566487751069019</v>
      </c>
      <c r="BB36" s="13">
        <f t="shared" si="127"/>
        <v>3.3190872297216578</v>
      </c>
      <c r="BC36" s="13">
        <f t="shared" si="128"/>
        <v>4.8257404000558539</v>
      </c>
      <c r="BD36" s="13">
        <f t="shared" si="129"/>
        <v>6.7428439035609395</v>
      </c>
      <c r="BE36" s="13">
        <f t="shared" si="130"/>
        <v>9.1478518208501907</v>
      </c>
      <c r="BF36" s="13">
        <f t="shared" si="131"/>
        <v>11.102008137650813</v>
      </c>
      <c r="BG36" s="13">
        <f t="shared" si="132"/>
        <v>13.304597311512733</v>
      </c>
      <c r="BH36" s="13">
        <f t="shared" si="133"/>
        <v>15.187919439599979</v>
      </c>
      <c r="BI36" s="13">
        <f t="shared" si="134"/>
        <v>16.89843967080127</v>
      </c>
      <c r="BJ36" s="13">
        <f t="shared" si="153"/>
        <v>4.0000000000000001E-3</v>
      </c>
      <c r="BK36" s="13">
        <f t="shared" si="154"/>
        <v>0.01</v>
      </c>
      <c r="BL36" s="13">
        <f t="shared" si="155"/>
        <v>0.02</v>
      </c>
      <c r="BM36" s="13">
        <f t="shared" si="156"/>
        <v>0.03</v>
      </c>
      <c r="BN36" s="30">
        <f t="shared" si="102"/>
        <v>4693589.0213427851</v>
      </c>
      <c r="BO36" s="30">
        <f t="shared" si="103"/>
        <v>1354564.4902627454</v>
      </c>
      <c r="BP36" s="30">
        <f t="shared" si="104"/>
        <v>2687217.0689698574</v>
      </c>
      <c r="BQ36" s="30">
        <f t="shared" si="105"/>
        <v>999202.64381277654</v>
      </c>
      <c r="BR36" s="36">
        <f t="shared" si="157"/>
        <v>0.3</v>
      </c>
      <c r="BS36" s="36">
        <f t="shared" si="158"/>
        <v>0.25</v>
      </c>
      <c r="BT36" s="36">
        <f t="shared" si="159"/>
        <v>0.2</v>
      </c>
      <c r="BU36" s="36">
        <f t="shared" si="160"/>
        <v>0.2</v>
      </c>
      <c r="BV36" s="36">
        <f t="shared" si="161"/>
        <v>0.2</v>
      </c>
      <c r="BW36" s="36">
        <f t="shared" si="162"/>
        <v>0.2</v>
      </c>
      <c r="BX36" s="36">
        <f t="shared" si="163"/>
        <v>0.2</v>
      </c>
      <c r="BY36" s="36">
        <f t="shared" si="164"/>
        <v>0.2</v>
      </c>
      <c r="BZ36" s="36">
        <f t="shared" si="165"/>
        <v>0.2</v>
      </c>
      <c r="CA36" s="36">
        <f t="shared" si="166"/>
        <v>0.2</v>
      </c>
      <c r="CB36" s="36">
        <f t="shared" si="167"/>
        <v>0.2</v>
      </c>
      <c r="CC36" s="36">
        <f t="shared" si="168"/>
        <v>0.2</v>
      </c>
      <c r="CD36" s="35">
        <f t="shared" si="169"/>
        <v>0.36733567714780235</v>
      </c>
      <c r="CE36" s="35">
        <f t="shared" si="170"/>
        <v>0.36733567714780235</v>
      </c>
      <c r="CF36" s="35">
        <f t="shared" si="171"/>
        <v>0.36733567714780235</v>
      </c>
      <c r="CG36" s="35">
        <f t="shared" si="172"/>
        <v>0.36733567714780235</v>
      </c>
      <c r="CH36" s="28">
        <f t="shared" si="173"/>
        <v>0</v>
      </c>
      <c r="CI36" s="28">
        <f t="shared" si="174"/>
        <v>0</v>
      </c>
      <c r="CJ36" s="28">
        <f t="shared" si="175"/>
        <v>15770.534687909269</v>
      </c>
      <c r="CK36" s="28">
        <f t="shared" si="176"/>
        <v>23888.618841225911</v>
      </c>
      <c r="CL36" s="28">
        <f t="shared" si="177"/>
        <v>32524.725941662116</v>
      </c>
      <c r="CM36" s="28">
        <f t="shared" si="178"/>
        <v>31774.178608979528</v>
      </c>
      <c r="CN36" s="28">
        <f t="shared" si="179"/>
        <v>22669.822036571386</v>
      </c>
      <c r="CO36" s="28">
        <f t="shared" si="180"/>
        <v>15649.094696744974</v>
      </c>
      <c r="CP36" s="28">
        <f t="shared" si="181"/>
        <v>9597.713263121841</v>
      </c>
      <c r="CQ36" s="28">
        <f t="shared" si="182"/>
        <v>5787.5219583634453</v>
      </c>
      <c r="CR36" s="28">
        <f t="shared" si="183"/>
        <v>3303.7465148966157</v>
      </c>
      <c r="CS36" s="28">
        <f t="shared" si="184"/>
        <v>4271.1262768417992</v>
      </c>
      <c r="CT36" s="44">
        <f t="shared" si="106"/>
        <v>0</v>
      </c>
      <c r="CU36" s="44">
        <f t="shared" si="107"/>
        <v>0</v>
      </c>
      <c r="CV36" s="44">
        <f t="shared" si="108"/>
        <v>3.9498351013422722E-2</v>
      </c>
      <c r="CW36" s="44">
        <f t="shared" si="109"/>
        <v>7.3077254098858194E-2</v>
      </c>
      <c r="CX36" s="44">
        <f t="shared" si="110"/>
        <v>0.12152436250178109</v>
      </c>
      <c r="CY36" s="44">
        <f t="shared" si="111"/>
        <v>0.19000897376436529</v>
      </c>
      <c r="CZ36" s="44">
        <f t="shared" si="112"/>
        <v>0.28430824439366176</v>
      </c>
      <c r="DA36" s="44">
        <f t="shared" si="113"/>
        <v>0.41159665761372344</v>
      </c>
      <c r="DB36" s="44">
        <f t="shared" si="114"/>
        <v>0.52940896146756899</v>
      </c>
      <c r="DC36" s="44">
        <f t="shared" si="115"/>
        <v>0.66950921933851637</v>
      </c>
      <c r="DD36" s="44">
        <f t="shared" si="116"/>
        <v>0.80151259609004277</v>
      </c>
      <c r="DE36" s="44">
        <f t="shared" si="117"/>
        <v>0.93082304529183113</v>
      </c>
      <c r="DF36" s="21">
        <f t="shared" si="185"/>
        <v>0</v>
      </c>
      <c r="DG36" s="21">
        <f t="shared" si="186"/>
        <v>0</v>
      </c>
      <c r="DH36" s="21">
        <f t="shared" si="187"/>
        <v>0</v>
      </c>
      <c r="DI36" s="21">
        <f t="shared" si="188"/>
        <v>0</v>
      </c>
      <c r="DJ36" s="21">
        <f t="shared" si="189"/>
        <v>57712.941944457525</v>
      </c>
      <c r="DK36" s="21">
        <f t="shared" si="190"/>
        <v>63862.016186309469</v>
      </c>
      <c r="DL36" s="21">
        <f t="shared" si="191"/>
        <v>30450.965177826904</v>
      </c>
      <c r="DM36" s="21">
        <f t="shared" si="192"/>
        <v>14519.771591196522</v>
      </c>
      <c r="DN36" s="21">
        <f t="shared" si="193"/>
        <v>6923.3914585134116</v>
      </c>
      <c r="DO36" s="21">
        <f t="shared" si="194"/>
        <v>3301.2506173086226</v>
      </c>
      <c r="DP36" s="21">
        <f t="shared" si="195"/>
        <v>1574.1233877210595</v>
      </c>
      <c r="DQ36" s="21">
        <f t="shared" si="196"/>
        <v>1752.3372380384494</v>
      </c>
      <c r="DR36" s="21">
        <f t="shared" si="197"/>
        <v>0</v>
      </c>
      <c r="DS36" s="21">
        <f t="shared" si="198"/>
        <v>5259280.7678902112</v>
      </c>
      <c r="DT36" s="21">
        <f t="shared" si="199"/>
        <v>5380507.313882906</v>
      </c>
      <c r="DU36" s="21">
        <f t="shared" si="200"/>
        <v>4494484.0315100094</v>
      </c>
      <c r="DV36" s="13">
        <f t="shared" si="201"/>
        <v>0</v>
      </c>
      <c r="DW36" s="13">
        <f t="shared" si="202"/>
        <v>0</v>
      </c>
      <c r="DX36" s="13">
        <f t="shared" si="203"/>
        <v>0</v>
      </c>
      <c r="DY36" s="13">
        <f t="shared" si="204"/>
        <v>0</v>
      </c>
      <c r="DZ36" s="13">
        <f t="shared" si="205"/>
        <v>191554.2885975164</v>
      </c>
      <c r="EA36" s="13">
        <f t="shared" si="206"/>
        <v>308181.5115392945</v>
      </c>
      <c r="EB36" s="13">
        <f t="shared" si="207"/>
        <v>205326.10490685661</v>
      </c>
      <c r="EC36" s="13">
        <f t="shared" si="208"/>
        <v>132824.71898885598</v>
      </c>
      <c r="ED36" s="13">
        <f t="shared" si="209"/>
        <v>76863.548312558021</v>
      </c>
      <c r="EE36" s="13">
        <f t="shared" si="210"/>
        <v>43921.81008767405</v>
      </c>
      <c r="EF36" s="13">
        <f t="shared" si="211"/>
        <v>23907.659200697653</v>
      </c>
      <c r="EG36" s="13">
        <f t="shared" si="212"/>
        <v>29611.765099891261</v>
      </c>
      <c r="EH36" s="13">
        <f t="shared" si="213"/>
        <v>0</v>
      </c>
      <c r="EI36" s="13">
        <f t="shared" si="214"/>
        <v>52592.807678902114</v>
      </c>
      <c r="EJ36" s="13">
        <f t="shared" si="215"/>
        <v>107610.14627765812</v>
      </c>
      <c r="EK36" s="13">
        <f t="shared" si="216"/>
        <v>134834.52094530029</v>
      </c>
      <c r="EL36" s="21">
        <f t="shared" si="120"/>
        <v>1012191.4067333443</v>
      </c>
      <c r="EM36" s="21">
        <f t="shared" si="121"/>
        <v>295037.47490186052</v>
      </c>
      <c r="EN36" s="21">
        <f t="shared" si="217"/>
        <v>15182871101.000164</v>
      </c>
      <c r="EO36" s="21">
        <f t="shared" si="218"/>
        <v>6638343185.2918615</v>
      </c>
      <c r="EP36" s="21">
        <f t="shared" si="219"/>
        <v>12930334671.136906</v>
      </c>
      <c r="EQ36" s="21">
        <f t="shared" si="220"/>
        <v>4539267240.8750324</v>
      </c>
      <c r="ER36" s="21">
        <f t="shared" si="221"/>
        <v>2483269592.0276108</v>
      </c>
      <c r="ES36" s="21">
        <f t="shared" si="222"/>
        <v>871765858.81523252</v>
      </c>
    </row>
    <row r="37" spans="1:149" x14ac:dyDescent="0.25">
      <c r="A37" s="42" t="s">
        <v>83</v>
      </c>
      <c r="B37" s="43" cm="1">
        <f t="array" ref="B37:M37">AX84:BI84</f>
        <v>0.2</v>
      </c>
      <c r="C37" s="43">
        <v>0.6</v>
      </c>
      <c r="D37" s="43">
        <v>1.2658</v>
      </c>
      <c r="E37" s="43">
        <v>2.1566490283455741</v>
      </c>
      <c r="F37" s="43">
        <v>3.3190880025391527</v>
      </c>
      <c r="G37" s="43">
        <v>4.8257420950726964</v>
      </c>
      <c r="H37" s="43">
        <v>6.7428471072240512</v>
      </c>
      <c r="I37" s="43">
        <v>9.1478573586358713</v>
      </c>
      <c r="J37" s="43">
        <v>11.102017140389957</v>
      </c>
      <c r="K37" s="43">
        <v>13.304611500868473</v>
      </c>
      <c r="L37" s="43">
        <v>15.187941275505876</v>
      </c>
      <c r="M37" s="43">
        <v>16.89847253719066</v>
      </c>
      <c r="O37" s="3">
        <v>35</v>
      </c>
      <c r="P37" s="21">
        <f t="shared" si="122"/>
        <v>450507.28597265156</v>
      </c>
      <c r="Q37" s="21">
        <f t="shared" si="123"/>
        <v>419815.18888336571</v>
      </c>
      <c r="R37" s="13">
        <f t="shared" si="135"/>
        <v>692036.48674858746</v>
      </c>
      <c r="S37" s="13">
        <f t="shared" si="224"/>
        <v>512673.35562627588</v>
      </c>
      <c r="T37" s="13">
        <f t="shared" si="225"/>
        <v>399270.53656600392</v>
      </c>
      <c r="U37" s="13">
        <f t="shared" si="226"/>
        <v>326895.20980474772</v>
      </c>
      <c r="V37" s="13">
        <f t="shared" si="227"/>
        <v>267639.324096817</v>
      </c>
      <c r="W37" s="13">
        <f t="shared" si="228"/>
        <v>167224.42099719541</v>
      </c>
      <c r="X37" s="13">
        <f t="shared" si="229"/>
        <v>79736.639746696936</v>
      </c>
      <c r="Y37" s="13">
        <f t="shared" si="230"/>
        <v>38020.372442361382</v>
      </c>
      <c r="Z37" s="13">
        <f t="shared" si="231"/>
        <v>18129.051754237567</v>
      </c>
      <c r="AA37" s="13">
        <f t="shared" si="232"/>
        <v>8644.3868126917805</v>
      </c>
      <c r="AB37" s="13">
        <f t="shared" si="233"/>
        <v>4121.8653419578231</v>
      </c>
      <c r="AC37" s="13">
        <f t="shared" si="234"/>
        <v>4588.4900878147546</v>
      </c>
      <c r="AD37" s="13">
        <f t="shared" si="235"/>
        <v>47617238.181067616</v>
      </c>
      <c r="AE37" s="13">
        <f t="shared" si="236"/>
        <v>32978604.877797194</v>
      </c>
      <c r="AF37" s="13">
        <f t="shared" si="237"/>
        <v>18515627.858890936</v>
      </c>
      <c r="AG37" s="13">
        <f t="shared" si="238"/>
        <v>15466644.885664126</v>
      </c>
      <c r="AH37" s="21">
        <f t="shared" si="137"/>
        <v>0</v>
      </c>
      <c r="AI37" s="21">
        <f t="shared" si="138"/>
        <v>1538.0200668788277</v>
      </c>
      <c r="AJ37" s="21">
        <f t="shared" si="139"/>
        <v>19753.384440633879</v>
      </c>
      <c r="AK37" s="21">
        <f t="shared" si="140"/>
        <v>89397.237376077304</v>
      </c>
      <c r="AL37" s="21">
        <f t="shared" si="141"/>
        <v>154751.87444882275</v>
      </c>
      <c r="AM37" s="21">
        <f t="shared" si="142"/>
        <v>135486.98614899084</v>
      </c>
      <c r="AN37" s="21">
        <f t="shared" si="143"/>
        <v>74692.248116405899</v>
      </c>
      <c r="AO37" s="21">
        <f t="shared" si="144"/>
        <v>37430.056133387872</v>
      </c>
      <c r="AP37" s="21">
        <f t="shared" si="145"/>
        <v>18030.773210517225</v>
      </c>
      <c r="AQ37" s="21">
        <f t="shared" si="146"/>
        <v>8618.4536522537055</v>
      </c>
      <c r="AR37" s="21">
        <f t="shared" si="147"/>
        <v>4121.8653419578231</v>
      </c>
      <c r="AS37" s="21">
        <f t="shared" si="148"/>
        <v>4588.4900878147546</v>
      </c>
      <c r="AT37" s="21">
        <f t="shared" si="149"/>
        <v>0</v>
      </c>
      <c r="AU37" s="21">
        <f t="shared" si="150"/>
        <v>16489302.438898597</v>
      </c>
      <c r="AV37" s="21">
        <f t="shared" si="151"/>
        <v>18515627.858890936</v>
      </c>
      <c r="AW37" s="21">
        <f t="shared" si="152"/>
        <v>15466644.885664126</v>
      </c>
      <c r="AX37" s="13">
        <f t="shared" si="100"/>
        <v>0.2</v>
      </c>
      <c r="AY37" s="13">
        <f t="shared" si="124"/>
        <v>0.6</v>
      </c>
      <c r="AZ37" s="13">
        <f t="shared" si="125"/>
        <v>1.2658</v>
      </c>
      <c r="BA37" s="13">
        <f t="shared" si="126"/>
        <v>2.156648845709396</v>
      </c>
      <c r="BB37" s="13">
        <f t="shared" si="127"/>
        <v>3.3190874451891825</v>
      </c>
      <c r="BC37" s="13">
        <f t="shared" si="128"/>
        <v>4.8257408727226547</v>
      </c>
      <c r="BD37" s="13">
        <f t="shared" si="129"/>
        <v>6.7428447972003926</v>
      </c>
      <c r="BE37" s="13">
        <f t="shared" si="130"/>
        <v>9.1478533662062773</v>
      </c>
      <c r="BF37" s="13">
        <f t="shared" si="131"/>
        <v>11.102010651014995</v>
      </c>
      <c r="BG37" s="13">
        <f t="shared" si="132"/>
        <v>13.304601274164463</v>
      </c>
      <c r="BH37" s="13">
        <f t="shared" si="133"/>
        <v>15.187925538281213</v>
      </c>
      <c r="BI37" s="13">
        <f t="shared" si="134"/>
        <v>16.898448848231496</v>
      </c>
      <c r="BJ37" s="13">
        <f t="shared" si="153"/>
        <v>4.0000000000000001E-3</v>
      </c>
      <c r="BK37" s="13">
        <f t="shared" si="154"/>
        <v>0.01</v>
      </c>
      <c r="BL37" s="13">
        <f t="shared" si="155"/>
        <v>0.02</v>
      </c>
      <c r="BM37" s="13">
        <f t="shared" si="156"/>
        <v>0.03</v>
      </c>
      <c r="BN37" s="30">
        <f t="shared" si="102"/>
        <v>4693582.7494727001</v>
      </c>
      <c r="BO37" s="30">
        <f t="shared" si="103"/>
        <v>1354566.9052499849</v>
      </c>
      <c r="BP37" s="30">
        <f t="shared" si="104"/>
        <v>2687211.9614499244</v>
      </c>
      <c r="BQ37" s="30">
        <f t="shared" si="105"/>
        <v>999204.92813672847</v>
      </c>
      <c r="BR37" s="36">
        <f t="shared" si="157"/>
        <v>0.3</v>
      </c>
      <c r="BS37" s="36">
        <f t="shared" si="158"/>
        <v>0.25</v>
      </c>
      <c r="BT37" s="36">
        <f t="shared" si="159"/>
        <v>0.2</v>
      </c>
      <c r="BU37" s="36">
        <f t="shared" si="160"/>
        <v>0.2</v>
      </c>
      <c r="BV37" s="36">
        <f t="shared" si="161"/>
        <v>0.2</v>
      </c>
      <c r="BW37" s="36">
        <f t="shared" si="162"/>
        <v>0.2</v>
      </c>
      <c r="BX37" s="36">
        <f t="shared" si="163"/>
        <v>0.2</v>
      </c>
      <c r="BY37" s="36">
        <f t="shared" si="164"/>
        <v>0.2</v>
      </c>
      <c r="BZ37" s="36">
        <f t="shared" si="165"/>
        <v>0.2</v>
      </c>
      <c r="CA37" s="36">
        <f t="shared" si="166"/>
        <v>0.2</v>
      </c>
      <c r="CB37" s="36">
        <f t="shared" si="167"/>
        <v>0.2</v>
      </c>
      <c r="CC37" s="36">
        <f t="shared" si="168"/>
        <v>0.2</v>
      </c>
      <c r="CD37" s="35">
        <f t="shared" si="169"/>
        <v>0.3673353823151802</v>
      </c>
      <c r="CE37" s="35">
        <f t="shared" si="170"/>
        <v>0.3673353823151802</v>
      </c>
      <c r="CF37" s="35">
        <f t="shared" si="171"/>
        <v>0.3673353823151802</v>
      </c>
      <c r="CG37" s="35">
        <f t="shared" si="172"/>
        <v>0.3673353823151802</v>
      </c>
      <c r="CH37" s="28">
        <f t="shared" si="173"/>
        <v>0</v>
      </c>
      <c r="CI37" s="28">
        <f t="shared" si="174"/>
        <v>0</v>
      </c>
      <c r="CJ37" s="28">
        <f t="shared" si="175"/>
        <v>15770.556855270808</v>
      </c>
      <c r="CK37" s="28">
        <f t="shared" si="176"/>
        <v>23888.648318495209</v>
      </c>
      <c r="CL37" s="28">
        <f t="shared" si="177"/>
        <v>32524.758158690682</v>
      </c>
      <c r="CM37" s="28">
        <f t="shared" si="178"/>
        <v>31774.199156747803</v>
      </c>
      <c r="CN37" s="28">
        <f t="shared" si="179"/>
        <v>22669.825822801035</v>
      </c>
      <c r="CO37" s="28">
        <f t="shared" si="180"/>
        <v>15649.087047401179</v>
      </c>
      <c r="CP37" s="28">
        <f t="shared" si="181"/>
        <v>9597.7001425767921</v>
      </c>
      <c r="CQ37" s="28">
        <f t="shared" si="182"/>
        <v>5787.5073284262344</v>
      </c>
      <c r="CR37" s="28">
        <f t="shared" si="183"/>
        <v>3303.7330771345396</v>
      </c>
      <c r="CS37" s="28">
        <f t="shared" si="184"/>
        <v>4271.0801850554653</v>
      </c>
      <c r="CT37" s="44">
        <f t="shared" si="106"/>
        <v>0</v>
      </c>
      <c r="CU37" s="44">
        <f t="shared" si="107"/>
        <v>0</v>
      </c>
      <c r="CV37" s="44">
        <f t="shared" si="108"/>
        <v>3.9498423777792974E-2</v>
      </c>
      <c r="CW37" s="44">
        <f t="shared" si="109"/>
        <v>7.3077388722715561E-2</v>
      </c>
      <c r="CX37" s="44">
        <f t="shared" si="110"/>
        <v>0.12152458637552468</v>
      </c>
      <c r="CY37" s="44">
        <f t="shared" si="111"/>
        <v>0.19000932380134061</v>
      </c>
      <c r="CZ37" s="44">
        <f t="shared" si="112"/>
        <v>0.28430876814996614</v>
      </c>
      <c r="DA37" s="44">
        <f t="shared" si="113"/>
        <v>0.41159741586237969</v>
      </c>
      <c r="DB37" s="44">
        <f t="shared" si="114"/>
        <v>0.52940993675156678</v>
      </c>
      <c r="DC37" s="44">
        <f t="shared" si="115"/>
        <v>0.66951045271701104</v>
      </c>
      <c r="DD37" s="44">
        <f t="shared" si="116"/>
        <v>0.8015140726468557</v>
      </c>
      <c r="DE37" s="44">
        <f t="shared" si="117"/>
        <v>0.93082476006601678</v>
      </c>
      <c r="DF37" s="21">
        <f t="shared" si="185"/>
        <v>0</v>
      </c>
      <c r="DG37" s="21">
        <f t="shared" si="186"/>
        <v>0</v>
      </c>
      <c r="DH37" s="21">
        <f t="shared" si="187"/>
        <v>0</v>
      </c>
      <c r="DI37" s="21">
        <f t="shared" si="188"/>
        <v>0</v>
      </c>
      <c r="DJ37" s="21">
        <f t="shared" si="189"/>
        <v>57712.892791977763</v>
      </c>
      <c r="DK37" s="21">
        <f t="shared" si="190"/>
        <v>63861.93983739648</v>
      </c>
      <c r="DL37" s="21">
        <f t="shared" si="191"/>
        <v>30450.914166568524</v>
      </c>
      <c r="DM37" s="21">
        <f t="shared" si="192"/>
        <v>14519.737745423032</v>
      </c>
      <c r="DN37" s="21">
        <f t="shared" si="193"/>
        <v>6923.3692395776561</v>
      </c>
      <c r="DO37" s="21">
        <f t="shared" si="194"/>
        <v>3301.2361906910987</v>
      </c>
      <c r="DP37" s="21">
        <f t="shared" si="195"/>
        <v>1574.1140852290644</v>
      </c>
      <c r="DQ37" s="21">
        <f t="shared" si="196"/>
        <v>1752.3150995836338</v>
      </c>
      <c r="DR37" s="21">
        <f t="shared" si="197"/>
        <v>0</v>
      </c>
      <c r="DS37" s="21">
        <f t="shared" si="198"/>
        <v>5259284.7190702977</v>
      </c>
      <c r="DT37" s="21">
        <f t="shared" si="199"/>
        <v>5380514.8085546885</v>
      </c>
      <c r="DU37" s="21">
        <f t="shared" si="200"/>
        <v>4494501.2116352366</v>
      </c>
      <c r="DV37" s="13">
        <f t="shared" si="201"/>
        <v>0</v>
      </c>
      <c r="DW37" s="13">
        <f t="shared" si="202"/>
        <v>0</v>
      </c>
      <c r="DX37" s="13">
        <f t="shared" si="203"/>
        <v>0</v>
      </c>
      <c r="DY37" s="13">
        <f t="shared" si="204"/>
        <v>0</v>
      </c>
      <c r="DZ37" s="13">
        <f t="shared" si="205"/>
        <v>191554.13789140267</v>
      </c>
      <c r="EA37" s="13">
        <f t="shared" si="206"/>
        <v>308181.17328467936</v>
      </c>
      <c r="EB37" s="13">
        <f t="shared" si="207"/>
        <v>205325.7881580423</v>
      </c>
      <c r="EC37" s="13">
        <f t="shared" si="208"/>
        <v>132824.43181090042</v>
      </c>
      <c r="ED37" s="13">
        <f t="shared" si="209"/>
        <v>76863.31903870072</v>
      </c>
      <c r="EE37" s="13">
        <f t="shared" si="210"/>
        <v>43921.631228986633</v>
      </c>
      <c r="EF37" s="13">
        <f t="shared" si="211"/>
        <v>23907.527515218677</v>
      </c>
      <c r="EG37" s="13">
        <f t="shared" si="212"/>
        <v>29611.407076297717</v>
      </c>
      <c r="EH37" s="13">
        <f t="shared" si="213"/>
        <v>0</v>
      </c>
      <c r="EI37" s="13">
        <f t="shared" si="214"/>
        <v>52592.847190702974</v>
      </c>
      <c r="EJ37" s="13">
        <f t="shared" si="215"/>
        <v>107610.29617109377</v>
      </c>
      <c r="EK37" s="13">
        <f t="shared" si="216"/>
        <v>134835.0363490571</v>
      </c>
      <c r="EL37" s="21">
        <f t="shared" si="120"/>
        <v>1012189.4160042284</v>
      </c>
      <c r="EM37" s="21">
        <f t="shared" si="121"/>
        <v>295038.17971085384</v>
      </c>
      <c r="EN37" s="21">
        <f t="shared" si="217"/>
        <v>15182841240.063427</v>
      </c>
      <c r="EO37" s="21">
        <f t="shared" si="218"/>
        <v>6638359043.4942112</v>
      </c>
      <c r="EP37" s="21">
        <f t="shared" si="219"/>
        <v>12930304810.200169</v>
      </c>
      <c r="EQ37" s="21">
        <f t="shared" si="220"/>
        <v>4539283099.077383</v>
      </c>
      <c r="ER37" s="21">
        <f t="shared" si="221"/>
        <v>2362153649.8033924</v>
      </c>
      <c r="ES37" s="21">
        <f t="shared" si="222"/>
        <v>829252233.21247482</v>
      </c>
    </row>
    <row r="38" spans="1:149" x14ac:dyDescent="0.25">
      <c r="A38" s="19" t="s">
        <v>78</v>
      </c>
      <c r="B38" s="19">
        <f t="shared" ref="B38:M38" si="239">IF($B$61=0,B63,B68)</f>
        <v>0</v>
      </c>
      <c r="C38" s="19">
        <f t="shared" si="239"/>
        <v>0</v>
      </c>
      <c r="D38" s="19">
        <f t="shared" si="239"/>
        <v>4.0000000000000001E-8</v>
      </c>
      <c r="E38" s="19">
        <f t="shared" si="239"/>
        <v>7.4005372096697751E-8</v>
      </c>
      <c r="F38" s="19">
        <f t="shared" si="239"/>
        <v>1.2306778322009795E-7</v>
      </c>
      <c r="G38" s="19">
        <f t="shared" si="239"/>
        <v>1.924221835993048E-7</v>
      </c>
      <c r="H38" s="19">
        <f t="shared" si="239"/>
        <v>2.8791910254384573E-7</v>
      </c>
      <c r="I38" s="19">
        <f t="shared" si="239"/>
        <v>4.1682414283457096E-7</v>
      </c>
      <c r="J38" s="19">
        <f t="shared" si="239"/>
        <v>5.36132722389003E-7</v>
      </c>
      <c r="K38" s="19">
        <f t="shared" si="239"/>
        <v>6.7801232422183606E-7</v>
      </c>
      <c r="L38" s="19">
        <f t="shared" si="239"/>
        <v>8.1169221045978823E-7</v>
      </c>
      <c r="M38" s="19">
        <f t="shared" si="239"/>
        <v>9.4264496760941696E-7</v>
      </c>
      <c r="O38" s="3">
        <v>36</v>
      </c>
      <c r="P38" s="21">
        <f t="shared" si="122"/>
        <v>450507.28597265156</v>
      </c>
      <c r="Q38" s="21">
        <f t="shared" si="123"/>
        <v>419815.18888336571</v>
      </c>
      <c r="R38" s="13">
        <f t="shared" ref="R38:R69" si="240">$B$26*BP35/($B$27+BP35)</f>
        <v>692036.37243165274</v>
      </c>
      <c r="S38" s="13">
        <f t="shared" si="224"/>
        <v>512673.23875991581</v>
      </c>
      <c r="T38" s="13">
        <f t="shared" si="225"/>
        <v>399270.41082158848</v>
      </c>
      <c r="U38" s="13">
        <f t="shared" si="226"/>
        <v>326895.06708453427</v>
      </c>
      <c r="V38" s="13">
        <f t="shared" si="227"/>
        <v>267639.16130102595</v>
      </c>
      <c r="W38" s="13">
        <f t="shared" si="228"/>
        <v>167224.27857688739</v>
      </c>
      <c r="X38" s="13">
        <f t="shared" si="229"/>
        <v>79736.54441920598</v>
      </c>
      <c r="Y38" s="13">
        <f t="shared" si="230"/>
        <v>38020.30875088129</v>
      </c>
      <c r="Z38" s="13">
        <f t="shared" si="231"/>
        <v>18129.009495185801</v>
      </c>
      <c r="AA38" s="13">
        <f t="shared" si="232"/>
        <v>8644.3590706413142</v>
      </c>
      <c r="AB38" s="13">
        <f t="shared" si="233"/>
        <v>4121.8473292160879</v>
      </c>
      <c r="AC38" s="13">
        <f t="shared" si="234"/>
        <v>4588.4482598083214</v>
      </c>
      <c r="AD38" s="13">
        <f t="shared" si="235"/>
        <v>47617243.368805252</v>
      </c>
      <c r="AE38" s="13">
        <f t="shared" si="236"/>
        <v>32978619.581486702</v>
      </c>
      <c r="AF38" s="13">
        <f t="shared" si="237"/>
        <v>18515644.759927522</v>
      </c>
      <c r="AG38" s="13">
        <f t="shared" si="238"/>
        <v>15466686.108534506</v>
      </c>
      <c r="AH38" s="21">
        <f t="shared" si="137"/>
        <v>0</v>
      </c>
      <c r="AI38" s="21">
        <f t="shared" si="138"/>
        <v>1538.0197162797474</v>
      </c>
      <c r="AJ38" s="21">
        <f t="shared" si="139"/>
        <v>19753.378219594379</v>
      </c>
      <c r="AK38" s="21">
        <f t="shared" si="140"/>
        <v>89397.198345854718</v>
      </c>
      <c r="AL38" s="21">
        <f t="shared" si="141"/>
        <v>154751.78031858272</v>
      </c>
      <c r="AM38" s="21">
        <f t="shared" si="142"/>
        <v>135486.8707585581</v>
      </c>
      <c r="AN38" s="21">
        <f t="shared" si="143"/>
        <v>74692.158819633056</v>
      </c>
      <c r="AO38" s="21">
        <f t="shared" si="144"/>
        <v>37429.993430801813</v>
      </c>
      <c r="AP38" s="21">
        <f t="shared" si="145"/>
        <v>18030.731180554005</v>
      </c>
      <c r="AQ38" s="21">
        <f t="shared" si="146"/>
        <v>8618.4259934293914</v>
      </c>
      <c r="AR38" s="21">
        <f t="shared" si="147"/>
        <v>4121.8473292160879</v>
      </c>
      <c r="AS38" s="21">
        <f t="shared" si="148"/>
        <v>4588.4482598083214</v>
      </c>
      <c r="AT38" s="21">
        <f t="shared" si="149"/>
        <v>0</v>
      </c>
      <c r="AU38" s="21">
        <f t="shared" si="150"/>
        <v>16489309.790743351</v>
      </c>
      <c r="AV38" s="21">
        <f t="shared" si="151"/>
        <v>18515644.759927522</v>
      </c>
      <c r="AW38" s="21">
        <f t="shared" si="152"/>
        <v>15466686.108534506</v>
      </c>
      <c r="AX38" s="13">
        <f t="shared" si="100"/>
        <v>0.2</v>
      </c>
      <c r="AY38" s="13">
        <f t="shared" si="124"/>
        <v>0.6</v>
      </c>
      <c r="AZ38" s="13">
        <f t="shared" si="125"/>
        <v>1.2658</v>
      </c>
      <c r="BA38" s="13">
        <f t="shared" si="126"/>
        <v>2.1566488966444552</v>
      </c>
      <c r="BB38" s="13">
        <f t="shared" si="127"/>
        <v>3.319087600604707</v>
      </c>
      <c r="BC38" s="13">
        <f>BB37+G$35+F$36*CX37</f>
        <v>4.8257412135594757</v>
      </c>
      <c r="BD38" s="13">
        <f t="shared" si="129"/>
        <v>6.7428454413853114</v>
      </c>
      <c r="BE38" s="13">
        <f t="shared" si="130"/>
        <v>9.1478544798233781</v>
      </c>
      <c r="BF38" s="13">
        <f t="shared" si="131"/>
        <v>11.102012461758111</v>
      </c>
      <c r="BG38" s="13">
        <f t="shared" si="132"/>
        <v>13.304604128878044</v>
      </c>
      <c r="BH38" s="13">
        <f t="shared" si="133"/>
        <v>15.187929932615416</v>
      </c>
      <c r="BI38" s="13">
        <f t="shared" si="134"/>
        <v>16.898455463707613</v>
      </c>
      <c r="BJ38" s="13">
        <f t="shared" si="153"/>
        <v>4.0000000000000001E-3</v>
      </c>
      <c r="BK38" s="13">
        <f t="shared" si="154"/>
        <v>0.01</v>
      </c>
      <c r="BL38" s="13">
        <f t="shared" si="155"/>
        <v>0.02</v>
      </c>
      <c r="BM38" s="13">
        <f t="shared" si="156"/>
        <v>0.03</v>
      </c>
      <c r="BN38" s="30">
        <f t="shared" si="102"/>
        <v>4693578.2327458281</v>
      </c>
      <c r="BO38" s="30">
        <f t="shared" si="103"/>
        <v>1354568.6477446738</v>
      </c>
      <c r="BP38" s="30">
        <f t="shared" si="104"/>
        <v>2687208.2795011271</v>
      </c>
      <c r="BQ38" s="30">
        <f t="shared" si="105"/>
        <v>999206.57636201917</v>
      </c>
      <c r="BR38" s="36">
        <f t="shared" si="157"/>
        <v>0.3</v>
      </c>
      <c r="BS38" s="36">
        <f t="shared" si="158"/>
        <v>0.25</v>
      </c>
      <c r="BT38" s="36">
        <f t="shared" si="159"/>
        <v>0.2</v>
      </c>
      <c r="BU38" s="36">
        <f t="shared" si="160"/>
        <v>0.2</v>
      </c>
      <c r="BV38" s="36">
        <f t="shared" si="161"/>
        <v>0.2</v>
      </c>
      <c r="BW38" s="36">
        <f t="shared" si="162"/>
        <v>0.2</v>
      </c>
      <c r="BX38" s="36">
        <f t="shared" si="163"/>
        <v>0.2</v>
      </c>
      <c r="BY38" s="36">
        <f t="shared" si="164"/>
        <v>0.2</v>
      </c>
      <c r="BZ38" s="36">
        <f t="shared" si="165"/>
        <v>0.2</v>
      </c>
      <c r="CA38" s="36">
        <f t="shared" si="166"/>
        <v>0.2</v>
      </c>
      <c r="CB38" s="36">
        <f t="shared" si="167"/>
        <v>0.2</v>
      </c>
      <c r="CC38" s="36">
        <f t="shared" si="168"/>
        <v>0.2</v>
      </c>
      <c r="CD38" s="35">
        <f t="shared" si="169"/>
        <v>0.3673351697731706</v>
      </c>
      <c r="CE38" s="35">
        <f t="shared" si="170"/>
        <v>0.3673351697731706</v>
      </c>
      <c r="CF38" s="35">
        <f t="shared" si="171"/>
        <v>0.3673351697731706</v>
      </c>
      <c r="CG38" s="35">
        <f t="shared" si="172"/>
        <v>0.3673351697731706</v>
      </c>
      <c r="CH38" s="28">
        <f t="shared" si="173"/>
        <v>0</v>
      </c>
      <c r="CI38" s="28">
        <f t="shared" si="174"/>
        <v>0</v>
      </c>
      <c r="CJ38" s="28">
        <f t="shared" si="175"/>
        <v>15770.572849692513</v>
      </c>
      <c r="CK38" s="28">
        <f t="shared" si="176"/>
        <v>23888.669640001608</v>
      </c>
      <c r="CL38" s="28">
        <f t="shared" si="177"/>
        <v>32524.781604634492</v>
      </c>
      <c r="CM38" s="28">
        <f t="shared" si="178"/>
        <v>31774.214327595517</v>
      </c>
      <c r="CN38" s="28">
        <f t="shared" si="179"/>
        <v>22669.828851489623</v>
      </c>
      <c r="CO38" s="28">
        <f t="shared" si="180"/>
        <v>15649.081631802963</v>
      </c>
      <c r="CP38" s="28">
        <f t="shared" si="181"/>
        <v>9597.6905267850161</v>
      </c>
      <c r="CQ38" s="28">
        <f t="shared" si="182"/>
        <v>5787.4964471636385</v>
      </c>
      <c r="CR38" s="28">
        <f t="shared" si="183"/>
        <v>3303.7230307431005</v>
      </c>
      <c r="CS38" s="28">
        <f t="shared" si="184"/>
        <v>4271.0469272843402</v>
      </c>
      <c r="CT38" s="44">
        <f t="shared" si="106"/>
        <v>0</v>
      </c>
      <c r="CU38" s="44">
        <f t="shared" si="107"/>
        <v>0</v>
      </c>
      <c r="CV38" s="44">
        <f t="shared" si="108"/>
        <v>3.9498476276368738E-2</v>
      </c>
      <c r="CW38" s="44">
        <f t="shared" si="109"/>
        <v>7.3077485852131432E-2</v>
      </c>
      <c r="CX38" s="44">
        <f t="shared" si="110"/>
        <v>0.12152474789760827</v>
      </c>
      <c r="CY38" s="44">
        <f t="shared" si="111"/>
        <v>0.19000957634860524</v>
      </c>
      <c r="CZ38" s="44">
        <f t="shared" si="112"/>
        <v>0.28430914603353674</v>
      </c>
      <c r="DA38" s="44">
        <f t="shared" si="113"/>
        <v>0.41159796292922596</v>
      </c>
      <c r="DB38" s="44">
        <f t="shared" si="114"/>
        <v>0.52941064040667551</v>
      </c>
      <c r="DC38" s="44">
        <f t="shared" si="115"/>
        <v>0.66951134258404554</v>
      </c>
      <c r="DD38" s="44">
        <f t="shared" si="116"/>
        <v>0.80151513796398133</v>
      </c>
      <c r="DE38" s="44">
        <f t="shared" si="117"/>
        <v>0.93082599725397352</v>
      </c>
      <c r="DF38" s="21">
        <f t="shared" si="185"/>
        <v>0</v>
      </c>
      <c r="DG38" s="21">
        <f t="shared" si="186"/>
        <v>0</v>
      </c>
      <c r="DH38" s="21">
        <f t="shared" si="187"/>
        <v>0</v>
      </c>
      <c r="DI38" s="21">
        <f t="shared" si="188"/>
        <v>0</v>
      </c>
      <c r="DJ38" s="21">
        <f t="shared" si="189"/>
        <v>57712.857687211043</v>
      </c>
      <c r="DK38" s="21">
        <f t="shared" si="190"/>
        <v>63861.885447989189</v>
      </c>
      <c r="DL38" s="21">
        <f t="shared" si="191"/>
        <v>30450.87776160772</v>
      </c>
      <c r="DM38" s="21">
        <f t="shared" si="192"/>
        <v>14519.713422053002</v>
      </c>
      <c r="DN38" s="21">
        <f t="shared" si="193"/>
        <v>6923.3531011153118</v>
      </c>
      <c r="DO38" s="21">
        <f t="shared" si="194"/>
        <v>3301.225596178962</v>
      </c>
      <c r="DP38" s="21">
        <f t="shared" si="195"/>
        <v>1574.1072062778792</v>
      </c>
      <c r="DQ38" s="21">
        <f t="shared" si="196"/>
        <v>1752.2991257347519</v>
      </c>
      <c r="DR38" s="21">
        <f t="shared" si="197"/>
        <v>0</v>
      </c>
      <c r="DS38" s="21">
        <f t="shared" si="198"/>
        <v>5259287.5693857633</v>
      </c>
      <c r="DT38" s="21">
        <f t="shared" si="199"/>
        <v>5380520.2174224295</v>
      </c>
      <c r="DU38" s="21">
        <f t="shared" si="200"/>
        <v>4494513.6063315943</v>
      </c>
      <c r="DV38" s="13">
        <f t="shared" si="201"/>
        <v>0</v>
      </c>
      <c r="DW38" s="13">
        <f t="shared" si="202"/>
        <v>0</v>
      </c>
      <c r="DX38" s="13">
        <f t="shared" si="203"/>
        <v>0</v>
      </c>
      <c r="DY38" s="13">
        <f t="shared" si="204"/>
        <v>0</v>
      </c>
      <c r="DZ38" s="13">
        <f t="shared" si="205"/>
        <v>191554.03034508621</v>
      </c>
      <c r="EA38" s="13">
        <f t="shared" si="206"/>
        <v>308180.93258197559</v>
      </c>
      <c r="EB38" s="13">
        <f t="shared" si="207"/>
        <v>205325.56230103798</v>
      </c>
      <c r="EC38" s="13">
        <f t="shared" si="208"/>
        <v>132824.22547367919</v>
      </c>
      <c r="ED38" s="13">
        <f t="shared" si="209"/>
        <v>76863.152405733854</v>
      </c>
      <c r="EE38" s="13">
        <f t="shared" si="210"/>
        <v>43921.499697280502</v>
      </c>
      <c r="EF38" s="13">
        <f t="shared" si="211"/>
        <v>23907.429955373431</v>
      </c>
      <c r="EG38" s="13">
        <f t="shared" si="212"/>
        <v>29611.148735322491</v>
      </c>
      <c r="EH38" s="13">
        <f t="shared" si="213"/>
        <v>0</v>
      </c>
      <c r="EI38" s="13">
        <f t="shared" si="214"/>
        <v>52592.875693857633</v>
      </c>
      <c r="EJ38" s="13">
        <f t="shared" si="215"/>
        <v>107610.40434844859</v>
      </c>
      <c r="EK38" s="13">
        <f t="shared" si="216"/>
        <v>134835.40818994783</v>
      </c>
      <c r="EL38" s="21">
        <f t="shared" si="120"/>
        <v>1012187.9814954892</v>
      </c>
      <c r="EM38" s="21">
        <f t="shared" si="121"/>
        <v>295038.68823225406</v>
      </c>
      <c r="EN38" s="21">
        <f t="shared" si="217"/>
        <v>15182819722.432339</v>
      </c>
      <c r="EO38" s="21">
        <f t="shared" si="218"/>
        <v>6638370485.2257166</v>
      </c>
      <c r="EP38" s="21">
        <f t="shared" si="219"/>
        <v>12930283292.56908</v>
      </c>
      <c r="EQ38" s="21">
        <f t="shared" si="220"/>
        <v>4539294540.8088875</v>
      </c>
      <c r="ER38" s="21">
        <f t="shared" si="221"/>
        <v>2246946317.6811352</v>
      </c>
      <c r="ES38" s="21">
        <f t="shared" si="222"/>
        <v>788811112.83943796</v>
      </c>
    </row>
    <row r="39" spans="1:149" x14ac:dyDescent="0.25">
      <c r="A39" s="19" t="s">
        <v>79</v>
      </c>
      <c r="B39" s="19">
        <f t="shared" ref="B39:M39" si="241">IF($B$61=0,B64,B69)</f>
        <v>0</v>
      </c>
      <c r="C39" s="19">
        <f t="shared" si="241"/>
        <v>0</v>
      </c>
      <c r="D39" s="19">
        <f t="shared" si="241"/>
        <v>4.0000000000000001E-8</v>
      </c>
      <c r="E39" s="19">
        <f t="shared" si="241"/>
        <v>7.4005372096697751E-8</v>
      </c>
      <c r="F39" s="19">
        <f t="shared" si="241"/>
        <v>1.2306778322009795E-7</v>
      </c>
      <c r="G39" s="19">
        <f t="shared" si="241"/>
        <v>1.924221835993048E-7</v>
      </c>
      <c r="H39" s="19">
        <f t="shared" si="241"/>
        <v>2.8791910254384573E-7</v>
      </c>
      <c r="I39" s="19">
        <f t="shared" si="241"/>
        <v>4.1682414283457096E-7</v>
      </c>
      <c r="J39" s="19">
        <f t="shared" si="241"/>
        <v>5.36132722389003E-7</v>
      </c>
      <c r="K39" s="19">
        <f t="shared" si="241"/>
        <v>6.7801232422183606E-7</v>
      </c>
      <c r="L39" s="19">
        <f t="shared" si="241"/>
        <v>8.1169221045978823E-7</v>
      </c>
      <c r="M39" s="19">
        <f t="shared" si="241"/>
        <v>9.4264496760941696E-7</v>
      </c>
      <c r="O39" s="3">
        <v>37</v>
      </c>
      <c r="P39" s="21">
        <f t="shared" si="122"/>
        <v>450507.28597265156</v>
      </c>
      <c r="Q39" s="21">
        <f t="shared" si="123"/>
        <v>419815.18888336571</v>
      </c>
      <c r="R39" s="13">
        <f t="shared" si="240"/>
        <v>692036.28966204112</v>
      </c>
      <c r="S39" s="13">
        <f t="shared" si="224"/>
        <v>512673.15407184762</v>
      </c>
      <c r="T39" s="13">
        <f t="shared" si="225"/>
        <v>399270.31980597577</v>
      </c>
      <c r="U39" s="13">
        <f t="shared" si="226"/>
        <v>326894.96413371433</v>
      </c>
      <c r="V39" s="13">
        <f t="shared" si="227"/>
        <v>267639.04445159814</v>
      </c>
      <c r="W39" s="13">
        <f t="shared" si="228"/>
        <v>167224.1768601131</v>
      </c>
      <c r="X39" s="13">
        <f t="shared" si="229"/>
        <v>79736.476509847125</v>
      </c>
      <c r="Y39" s="13">
        <f t="shared" si="230"/>
        <v>38020.263296487297</v>
      </c>
      <c r="Z39" s="13">
        <f t="shared" si="231"/>
        <v>18128.979125587262</v>
      </c>
      <c r="AA39" s="13">
        <f t="shared" si="232"/>
        <v>8644.3389205296371</v>
      </c>
      <c r="AB39" s="13">
        <f t="shared" si="233"/>
        <v>4121.83410115271</v>
      </c>
      <c r="AC39" s="13">
        <f t="shared" si="234"/>
        <v>4588.4178247234177</v>
      </c>
      <c r="AD39" s="13">
        <f t="shared" si="235"/>
        <v>47617247.111938238</v>
      </c>
      <c r="AE39" s="13">
        <f t="shared" si="236"/>
        <v>32978630.183739759</v>
      </c>
      <c r="AF39" s="13">
        <f t="shared" si="237"/>
        <v>18515656.950582489</v>
      </c>
      <c r="AG39" s="13">
        <f t="shared" si="238"/>
        <v>15466715.850366622</v>
      </c>
      <c r="AH39" s="21">
        <f t="shared" si="137"/>
        <v>0</v>
      </c>
      <c r="AI39" s="21">
        <f t="shared" si="138"/>
        <v>1538.0194622155429</v>
      </c>
      <c r="AJ39" s="21">
        <f t="shared" si="139"/>
        <v>19753.373716716698</v>
      </c>
      <c r="AK39" s="21">
        <f t="shared" si="140"/>
        <v>89397.170191514699</v>
      </c>
      <c r="AL39" s="21">
        <f t="shared" si="141"/>
        <v>154751.71275501358</v>
      </c>
      <c r="AM39" s="21">
        <f t="shared" si="142"/>
        <v>135486.78834655689</v>
      </c>
      <c r="AN39" s="21">
        <f t="shared" si="143"/>
        <v>74692.095206434693</v>
      </c>
      <c r="AO39" s="21">
        <f t="shared" si="144"/>
        <v>37429.9486821471</v>
      </c>
      <c r="AP39" s="21">
        <f t="shared" si="145"/>
        <v>18030.700975590658</v>
      </c>
      <c r="AQ39" s="21">
        <f t="shared" si="146"/>
        <v>8618.405903768049</v>
      </c>
      <c r="AR39" s="21">
        <f t="shared" si="147"/>
        <v>4121.83410115271</v>
      </c>
      <c r="AS39" s="21">
        <f t="shared" si="148"/>
        <v>4588.4178247234177</v>
      </c>
      <c r="AT39" s="21">
        <f t="shared" si="149"/>
        <v>0</v>
      </c>
      <c r="AU39" s="21">
        <f t="shared" si="150"/>
        <v>16489315.09186988</v>
      </c>
      <c r="AV39" s="21">
        <f t="shared" si="151"/>
        <v>18515656.950582489</v>
      </c>
      <c r="AW39" s="21">
        <f t="shared" si="152"/>
        <v>15466715.850366622</v>
      </c>
      <c r="AX39" s="13">
        <f t="shared" si="100"/>
        <v>0.2</v>
      </c>
      <c r="AY39" s="13">
        <f t="shared" si="124"/>
        <v>0.6</v>
      </c>
      <c r="AZ39" s="13">
        <f t="shared" si="125"/>
        <v>1.2658</v>
      </c>
      <c r="BA39" s="13">
        <f t="shared" si="126"/>
        <v>2.1566489333934582</v>
      </c>
      <c r="BB39" s="13">
        <f t="shared" si="127"/>
        <v>3.3190877127312981</v>
      </c>
      <c r="BC39" s="13">
        <f t="shared" si="128"/>
        <v>4.825741459427368</v>
      </c>
      <c r="BD39" s="13">
        <f t="shared" si="129"/>
        <v>6.7428459059702925</v>
      </c>
      <c r="BE39" s="13">
        <f t="shared" si="130"/>
        <v>9.147855282719398</v>
      </c>
      <c r="BF39" s="13">
        <f t="shared" si="131"/>
        <v>11.102013766848607</v>
      </c>
      <c r="BG39" s="13">
        <f t="shared" si="132"/>
        <v>13.304606185900449</v>
      </c>
      <c r="BH39" s="13">
        <f t="shared" si="133"/>
        <v>15.187933098782459</v>
      </c>
      <c r="BI39" s="13">
        <f t="shared" si="134"/>
        <v>16.89846023090281</v>
      </c>
      <c r="BJ39" s="13">
        <f t="shared" si="153"/>
        <v>4.0000000000000001E-3</v>
      </c>
      <c r="BK39" s="13">
        <f t="shared" si="154"/>
        <v>0.01</v>
      </c>
      <c r="BL39" s="13">
        <f t="shared" si="155"/>
        <v>0.02</v>
      </c>
      <c r="BM39" s="13">
        <f t="shared" si="156"/>
        <v>0.03</v>
      </c>
      <c r="BN39" s="30">
        <f t="shared" si="102"/>
        <v>4693574.9823462889</v>
      </c>
      <c r="BO39" s="30">
        <f t="shared" si="103"/>
        <v>1354569.904807799</v>
      </c>
      <c r="BP39" s="30">
        <f t="shared" si="104"/>
        <v>2687205.6297460017</v>
      </c>
      <c r="BQ39" s="30">
        <f t="shared" si="105"/>
        <v>999207.76544134726</v>
      </c>
      <c r="BR39" s="36">
        <f t="shared" si="157"/>
        <v>0.3</v>
      </c>
      <c r="BS39" s="36">
        <f t="shared" si="158"/>
        <v>0.25</v>
      </c>
      <c r="BT39" s="36">
        <f t="shared" si="159"/>
        <v>0.2</v>
      </c>
      <c r="BU39" s="36">
        <f t="shared" si="160"/>
        <v>0.2</v>
      </c>
      <c r="BV39" s="36">
        <f t="shared" si="161"/>
        <v>0.2</v>
      </c>
      <c r="BW39" s="36">
        <f t="shared" si="162"/>
        <v>0.2</v>
      </c>
      <c r="BX39" s="36">
        <f t="shared" si="163"/>
        <v>0.2</v>
      </c>
      <c r="BY39" s="36">
        <f t="shared" si="164"/>
        <v>0.2</v>
      </c>
      <c r="BZ39" s="36">
        <f t="shared" si="165"/>
        <v>0.2</v>
      </c>
      <c r="CA39" s="36">
        <f t="shared" si="166"/>
        <v>0.2</v>
      </c>
      <c r="CB39" s="36">
        <f t="shared" si="167"/>
        <v>0.2</v>
      </c>
      <c r="CC39" s="36">
        <f t="shared" si="168"/>
        <v>0.2</v>
      </c>
      <c r="CD39" s="35">
        <f t="shared" si="169"/>
        <v>0.36733501669102275</v>
      </c>
      <c r="CE39" s="35">
        <f t="shared" si="170"/>
        <v>0.36733501669102275</v>
      </c>
      <c r="CF39" s="35">
        <f t="shared" si="171"/>
        <v>0.36733501669102275</v>
      </c>
      <c r="CG39" s="35">
        <f t="shared" si="172"/>
        <v>0.36733501669102275</v>
      </c>
      <c r="CH39" s="28">
        <f t="shared" si="173"/>
        <v>0</v>
      </c>
      <c r="CI39" s="28">
        <f t="shared" si="174"/>
        <v>0</v>
      </c>
      <c r="CJ39" s="28">
        <f t="shared" si="175"/>
        <v>15770.58437460343</v>
      </c>
      <c r="CK39" s="28">
        <f t="shared" si="176"/>
        <v>23888.685019650689</v>
      </c>
      <c r="CL39" s="28">
        <f t="shared" si="177"/>
        <v>32524.798587360303</v>
      </c>
      <c r="CM39" s="28">
        <f t="shared" si="178"/>
        <v>31774.225463652983</v>
      </c>
      <c r="CN39" s="28">
        <f t="shared" si="179"/>
        <v>22669.831278710219</v>
      </c>
      <c r="CO39" s="28">
        <f t="shared" si="180"/>
        <v>15649.077926262838</v>
      </c>
      <c r="CP39" s="28">
        <f t="shared" si="181"/>
        <v>9597.6836504789426</v>
      </c>
      <c r="CQ39" s="28">
        <f t="shared" si="182"/>
        <v>5787.4885051316323</v>
      </c>
      <c r="CR39" s="28">
        <f t="shared" si="183"/>
        <v>3303.715595654111</v>
      </c>
      <c r="CS39" s="28">
        <f t="shared" si="184"/>
        <v>4271.0226923160735</v>
      </c>
      <c r="CT39" s="44">
        <f t="shared" si="106"/>
        <v>0</v>
      </c>
      <c r="CU39" s="44">
        <f t="shared" si="107"/>
        <v>0</v>
      </c>
      <c r="CV39" s="44">
        <f t="shared" si="108"/>
        <v>3.9498514145171366E-2</v>
      </c>
      <c r="CW39" s="44">
        <f t="shared" si="109"/>
        <v>7.3077555914502171E-2</v>
      </c>
      <c r="CX39" s="44">
        <f t="shared" si="110"/>
        <v>0.12152486440834806</v>
      </c>
      <c r="CY39" s="44">
        <f t="shared" si="111"/>
        <v>0.19000975851854759</v>
      </c>
      <c r="CZ39" s="44">
        <f t="shared" si="112"/>
        <v>0.28430941861232845</v>
      </c>
      <c r="DA39" s="44">
        <f t="shared" si="113"/>
        <v>0.41159835754500579</v>
      </c>
      <c r="DB39" s="44">
        <f t="shared" si="114"/>
        <v>0.52941114797428168</v>
      </c>
      <c r="DC39" s="44">
        <f t="shared" si="115"/>
        <v>0.66951198447191773</v>
      </c>
      <c r="DD39" s="44">
        <f t="shared" si="116"/>
        <v>0.80151590640928405</v>
      </c>
      <c r="DE39" s="44">
        <f t="shared" si="117"/>
        <v>0.93082688967487914</v>
      </c>
      <c r="DF39" s="21">
        <f t="shared" si="185"/>
        <v>0</v>
      </c>
      <c r="DG39" s="21">
        <f t="shared" si="186"/>
        <v>0</v>
      </c>
      <c r="DH39" s="21">
        <f t="shared" si="187"/>
        <v>0</v>
      </c>
      <c r="DI39" s="21">
        <f t="shared" si="188"/>
        <v>0</v>
      </c>
      <c r="DJ39" s="21">
        <f t="shared" si="189"/>
        <v>57712.832490172004</v>
      </c>
      <c r="DK39" s="21">
        <f t="shared" si="190"/>
        <v>63861.846603001832</v>
      </c>
      <c r="DL39" s="21">
        <f t="shared" si="191"/>
        <v>30450.851827456692</v>
      </c>
      <c r="DM39" s="21">
        <f t="shared" si="192"/>
        <v>14519.696063309839</v>
      </c>
      <c r="DN39" s="21">
        <f t="shared" si="193"/>
        <v>6923.3415031593231</v>
      </c>
      <c r="DO39" s="21">
        <f t="shared" si="194"/>
        <v>3301.2179009798283</v>
      </c>
      <c r="DP39" s="21">
        <f t="shared" si="195"/>
        <v>1574.1021545648425</v>
      </c>
      <c r="DQ39" s="21">
        <f t="shared" si="196"/>
        <v>1752.2875027699392</v>
      </c>
      <c r="DR39" s="21">
        <f t="shared" si="197"/>
        <v>0</v>
      </c>
      <c r="DS39" s="21">
        <f t="shared" si="198"/>
        <v>5259289.6242239233</v>
      </c>
      <c r="DT39" s="21">
        <f t="shared" si="199"/>
        <v>5380524.1182957981</v>
      </c>
      <c r="DU39" s="21">
        <f t="shared" si="200"/>
        <v>4494522.5484482469</v>
      </c>
      <c r="DV39" s="13">
        <f t="shared" si="201"/>
        <v>0</v>
      </c>
      <c r="DW39" s="13">
        <f t="shared" si="202"/>
        <v>0</v>
      </c>
      <c r="DX39" s="13">
        <f t="shared" si="203"/>
        <v>0</v>
      </c>
      <c r="DY39" s="13">
        <f t="shared" si="204"/>
        <v>0</v>
      </c>
      <c r="DZ39" s="13">
        <f t="shared" si="205"/>
        <v>191553.95318504956</v>
      </c>
      <c r="EA39" s="13">
        <f t="shared" si="206"/>
        <v>308180.76082769677</v>
      </c>
      <c r="EB39" s="13">
        <f t="shared" si="207"/>
        <v>205325.40157807435</v>
      </c>
      <c r="EC39" s="13">
        <f t="shared" si="208"/>
        <v>132824.07833622897</v>
      </c>
      <c r="ED39" s="13">
        <f t="shared" si="209"/>
        <v>76863.03268066913</v>
      </c>
      <c r="EE39" s="13">
        <f t="shared" si="210"/>
        <v>43921.404106381517</v>
      </c>
      <c r="EF39" s="13">
        <f t="shared" si="211"/>
        <v>23907.358214180153</v>
      </c>
      <c r="EG39" s="13">
        <f t="shared" si="212"/>
        <v>29610.960678665815</v>
      </c>
      <c r="EH39" s="13">
        <f t="shared" si="213"/>
        <v>0</v>
      </c>
      <c r="EI39" s="13">
        <f t="shared" si="214"/>
        <v>52592.896242239236</v>
      </c>
      <c r="EJ39" s="13">
        <f t="shared" si="215"/>
        <v>107610.48236591596</v>
      </c>
      <c r="EK39" s="13">
        <f t="shared" si="216"/>
        <v>134835.67645344741</v>
      </c>
      <c r="EL39" s="21">
        <f t="shared" si="120"/>
        <v>1012186.9496069461</v>
      </c>
      <c r="EM39" s="21">
        <f t="shared" si="121"/>
        <v>295039.05506160262</v>
      </c>
      <c r="EN39" s="21">
        <f t="shared" si="217"/>
        <v>15182804244.104191</v>
      </c>
      <c r="EO39" s="21">
        <f t="shared" si="218"/>
        <v>6638378738.8860588</v>
      </c>
      <c r="EP39" s="21">
        <f t="shared" si="219"/>
        <v>12930267814.240932</v>
      </c>
      <c r="EQ39" s="21">
        <f t="shared" si="220"/>
        <v>4539302794.4692307</v>
      </c>
      <c r="ER39" s="21">
        <f t="shared" si="221"/>
        <v>2137358894.1013899</v>
      </c>
      <c r="ES39" s="21">
        <f t="shared" si="222"/>
        <v>750341705.22690475</v>
      </c>
    </row>
    <row r="40" spans="1:149" x14ac:dyDescent="0.25">
      <c r="A40" s="19" t="s">
        <v>80</v>
      </c>
      <c r="B40" s="19">
        <f t="shared" ref="B40:M40" si="242">IF($B$61=0,B65,B70)</f>
        <v>0</v>
      </c>
      <c r="C40" s="19">
        <f t="shared" si="242"/>
        <v>0</v>
      </c>
      <c r="D40" s="19">
        <f t="shared" si="242"/>
        <v>4.0000000000000001E-8</v>
      </c>
      <c r="E40" s="19">
        <f t="shared" si="242"/>
        <v>7.4005372096697751E-8</v>
      </c>
      <c r="F40" s="19">
        <f t="shared" si="242"/>
        <v>1.2306778322009795E-7</v>
      </c>
      <c r="G40" s="19">
        <f t="shared" si="242"/>
        <v>1.924221835993048E-7</v>
      </c>
      <c r="H40" s="19">
        <f t="shared" si="242"/>
        <v>2.8791910254384573E-7</v>
      </c>
      <c r="I40" s="19">
        <f t="shared" si="242"/>
        <v>4.1682414283457096E-7</v>
      </c>
      <c r="J40" s="19">
        <f t="shared" si="242"/>
        <v>5.36132722389003E-7</v>
      </c>
      <c r="K40" s="19">
        <f t="shared" si="242"/>
        <v>6.7801232422183606E-7</v>
      </c>
      <c r="L40" s="19">
        <f t="shared" si="242"/>
        <v>8.1169221045978823E-7</v>
      </c>
      <c r="M40" s="19">
        <f t="shared" si="242"/>
        <v>9.4264496760941696E-7</v>
      </c>
      <c r="O40" s="3">
        <v>38</v>
      </c>
      <c r="P40" s="21">
        <f t="shared" si="122"/>
        <v>450507.28597265156</v>
      </c>
      <c r="Q40" s="21">
        <f t="shared" si="123"/>
        <v>419815.18888336571</v>
      </c>
      <c r="R40" s="13">
        <f t="shared" si="240"/>
        <v>692036.22985737631</v>
      </c>
      <c r="S40" s="13">
        <f t="shared" si="224"/>
        <v>512673.09275461122</v>
      </c>
      <c r="T40" s="13">
        <f t="shared" si="225"/>
        <v>399270.25385084195</v>
      </c>
      <c r="U40" s="13">
        <f t="shared" si="226"/>
        <v>326894.88961643318</v>
      </c>
      <c r="V40" s="13">
        <f t="shared" si="227"/>
        <v>267638.96016259579</v>
      </c>
      <c r="W40" s="13">
        <f t="shared" si="228"/>
        <v>167224.1038511809</v>
      </c>
      <c r="X40" s="13">
        <f t="shared" si="229"/>
        <v>79736.428008892282</v>
      </c>
      <c r="Y40" s="13">
        <f t="shared" si="230"/>
        <v>38020.230915704778</v>
      </c>
      <c r="Z40" s="13">
        <f t="shared" si="231"/>
        <v>18128.957451861119</v>
      </c>
      <c r="AA40" s="13">
        <f t="shared" si="232"/>
        <v>8644.3244395894217</v>
      </c>
      <c r="AB40" s="13">
        <f t="shared" si="233"/>
        <v>4121.8244931046438</v>
      </c>
      <c r="AC40" s="13">
        <f t="shared" si="234"/>
        <v>4588.3956086180933</v>
      </c>
      <c r="AD40" s="13">
        <f t="shared" si="235"/>
        <v>47617249.812339708</v>
      </c>
      <c r="AE40" s="13">
        <f t="shared" si="236"/>
        <v>32978637.824589673</v>
      </c>
      <c r="AF40" s="13">
        <f t="shared" si="237"/>
        <v>18515665.737574369</v>
      </c>
      <c r="AG40" s="13">
        <f t="shared" si="238"/>
        <v>15466737.303197235</v>
      </c>
      <c r="AH40" s="21">
        <f t="shared" si="137"/>
        <v>0</v>
      </c>
      <c r="AI40" s="21">
        <f t="shared" si="138"/>
        <v>1538.0192782638337</v>
      </c>
      <c r="AJ40" s="21">
        <f t="shared" si="139"/>
        <v>19753.370453673237</v>
      </c>
      <c r="AK40" s="21">
        <f t="shared" si="140"/>
        <v>89397.149812999283</v>
      </c>
      <c r="AL40" s="21">
        <f t="shared" si="141"/>
        <v>154751.66401822516</v>
      </c>
      <c r="AM40" s="21">
        <f t="shared" si="142"/>
        <v>135486.7291939515</v>
      </c>
      <c r="AN40" s="21">
        <f t="shared" si="143"/>
        <v>74692.049773803417</v>
      </c>
      <c r="AO40" s="21">
        <f t="shared" si="144"/>
        <v>37429.916804118831</v>
      </c>
      <c r="AP40" s="21">
        <f t="shared" si="145"/>
        <v>18030.679419358923</v>
      </c>
      <c r="AQ40" s="21">
        <f t="shared" si="146"/>
        <v>8618.3914662706538</v>
      </c>
      <c r="AR40" s="21">
        <f t="shared" si="147"/>
        <v>4121.8244931046438</v>
      </c>
      <c r="AS40" s="21">
        <f t="shared" si="148"/>
        <v>4588.3956086180933</v>
      </c>
      <c r="AT40" s="21">
        <f t="shared" si="149"/>
        <v>0</v>
      </c>
      <c r="AU40" s="21">
        <f t="shared" si="150"/>
        <v>16489318.912294837</v>
      </c>
      <c r="AV40" s="21">
        <f t="shared" si="151"/>
        <v>18515665.737574369</v>
      </c>
      <c r="AW40" s="21">
        <f t="shared" si="152"/>
        <v>15466737.303197235</v>
      </c>
      <c r="AX40" s="13">
        <f t="shared" si="100"/>
        <v>0.2</v>
      </c>
      <c r="AY40" s="13">
        <f t="shared" si="124"/>
        <v>0.6</v>
      </c>
      <c r="AZ40" s="13">
        <f t="shared" si="125"/>
        <v>1.2658</v>
      </c>
      <c r="BA40" s="13">
        <f t="shared" si="126"/>
        <v>2.1566489599016201</v>
      </c>
      <c r="BB40" s="13">
        <f t="shared" si="127"/>
        <v>3.3190877936195946</v>
      </c>
      <c r="BC40" s="13">
        <f t="shared" si="128"/>
        <v>4.8257416367999735</v>
      </c>
      <c r="BD40" s="13">
        <f t="shared" si="129"/>
        <v>6.7428462411014563</v>
      </c>
      <c r="BE40" s="13">
        <f t="shared" si="130"/>
        <v>9.1478558617874697</v>
      </c>
      <c r="BF40" s="13">
        <f t="shared" si="131"/>
        <v>11.10201470786015</v>
      </c>
      <c r="BG40" s="13">
        <f t="shared" si="132"/>
        <v>13.304607668639607</v>
      </c>
      <c r="BH40" s="13">
        <f t="shared" si="133"/>
        <v>15.187935380465619</v>
      </c>
      <c r="BI40" s="13">
        <f t="shared" si="134"/>
        <v>16.898463666025709</v>
      </c>
      <c r="BJ40" s="13">
        <f t="shared" si="153"/>
        <v>4.0000000000000001E-3</v>
      </c>
      <c r="BK40" s="13">
        <f t="shared" si="154"/>
        <v>0.01</v>
      </c>
      <c r="BL40" s="13">
        <f t="shared" si="155"/>
        <v>0.02</v>
      </c>
      <c r="BM40" s="13">
        <f t="shared" si="156"/>
        <v>0.03</v>
      </c>
      <c r="BN40" s="30">
        <f t="shared" si="102"/>
        <v>4693572.6431947341</v>
      </c>
      <c r="BO40" s="30">
        <f t="shared" si="103"/>
        <v>1354570.8113426601</v>
      </c>
      <c r="BP40" s="30">
        <f t="shared" si="104"/>
        <v>2687203.7241685223</v>
      </c>
      <c r="BQ40" s="30">
        <f t="shared" si="105"/>
        <v>999208.62297035288</v>
      </c>
      <c r="BR40" s="36">
        <f t="shared" si="157"/>
        <v>0.3</v>
      </c>
      <c r="BS40" s="36">
        <f t="shared" si="158"/>
        <v>0.25</v>
      </c>
      <c r="BT40" s="36">
        <f t="shared" si="159"/>
        <v>0.2</v>
      </c>
      <c r="BU40" s="36">
        <f t="shared" si="160"/>
        <v>0.2</v>
      </c>
      <c r="BV40" s="36">
        <f t="shared" si="161"/>
        <v>0.2</v>
      </c>
      <c r="BW40" s="36">
        <f t="shared" si="162"/>
        <v>0.2</v>
      </c>
      <c r="BX40" s="36">
        <f t="shared" si="163"/>
        <v>0.2</v>
      </c>
      <c r="BY40" s="36">
        <f t="shared" si="164"/>
        <v>0.2</v>
      </c>
      <c r="BZ40" s="36">
        <f t="shared" si="165"/>
        <v>0.2</v>
      </c>
      <c r="CA40" s="36">
        <f t="shared" si="166"/>
        <v>0.2</v>
      </c>
      <c r="CB40" s="36">
        <f t="shared" si="167"/>
        <v>0.2</v>
      </c>
      <c r="CC40" s="36">
        <f t="shared" si="168"/>
        <v>0.2</v>
      </c>
      <c r="CD40" s="35">
        <f t="shared" si="169"/>
        <v>0.36733490647596873</v>
      </c>
      <c r="CE40" s="35">
        <f t="shared" si="170"/>
        <v>0.36733490647596873</v>
      </c>
      <c r="CF40" s="35">
        <f t="shared" si="171"/>
        <v>0.36733490647596873</v>
      </c>
      <c r="CG40" s="35">
        <f t="shared" si="172"/>
        <v>0.36733490647596873</v>
      </c>
      <c r="CH40" s="28">
        <f t="shared" si="173"/>
        <v>0</v>
      </c>
      <c r="CI40" s="28">
        <f t="shared" si="174"/>
        <v>0</v>
      </c>
      <c r="CJ40" s="28">
        <f t="shared" si="175"/>
        <v>15770.592671914854</v>
      </c>
      <c r="CK40" s="28">
        <f t="shared" si="176"/>
        <v>23888.696088714656</v>
      </c>
      <c r="CL40" s="28">
        <f t="shared" si="177"/>
        <v>32524.810829027807</v>
      </c>
      <c r="CM40" s="28">
        <f t="shared" si="178"/>
        <v>31774.23355723545</v>
      </c>
      <c r="CN40" s="28">
        <f t="shared" si="179"/>
        <v>22669.833161418934</v>
      </c>
      <c r="CO40" s="28">
        <f t="shared" si="180"/>
        <v>15649.075416820491</v>
      </c>
      <c r="CP40" s="28">
        <f t="shared" si="181"/>
        <v>9597.6788111823407</v>
      </c>
      <c r="CQ40" s="28">
        <f t="shared" si="182"/>
        <v>5787.482810940066</v>
      </c>
      <c r="CR40" s="28">
        <f t="shared" si="183"/>
        <v>3303.7101785538871</v>
      </c>
      <c r="CS40" s="28">
        <f t="shared" si="184"/>
        <v>4271.0049655760085</v>
      </c>
      <c r="CT40" s="44">
        <f t="shared" si="106"/>
        <v>0</v>
      </c>
      <c r="CU40" s="44">
        <f t="shared" si="107"/>
        <v>0</v>
      </c>
      <c r="CV40" s="44">
        <f t="shared" si="108"/>
        <v>3.9498541451090365E-2</v>
      </c>
      <c r="CW40" s="44">
        <f t="shared" si="109"/>
        <v>7.3077606434119549E-2</v>
      </c>
      <c r="CX40" s="44">
        <f t="shared" si="110"/>
        <v>0.12152494842032102</v>
      </c>
      <c r="CY40" s="44">
        <f t="shared" si="111"/>
        <v>0.19000988987516149</v>
      </c>
      <c r="CZ40" s="44">
        <f t="shared" si="112"/>
        <v>0.28430961515972064</v>
      </c>
      <c r="DA40" s="44">
        <f t="shared" si="113"/>
        <v>0.41159864208916275</v>
      </c>
      <c r="DB40" s="44">
        <f t="shared" si="114"/>
        <v>0.52941151396419894</v>
      </c>
      <c r="DC40" s="44">
        <f t="shared" si="115"/>
        <v>0.66951244731565784</v>
      </c>
      <c r="DD40" s="44">
        <f t="shared" si="116"/>
        <v>0.80151646050932746</v>
      </c>
      <c r="DE40" s="44">
        <f t="shared" si="117"/>
        <v>0.93082753316955713</v>
      </c>
      <c r="DF40" s="21">
        <f t="shared" si="185"/>
        <v>0</v>
      </c>
      <c r="DG40" s="21">
        <f t="shared" si="186"/>
        <v>0</v>
      </c>
      <c r="DH40" s="21">
        <f t="shared" si="187"/>
        <v>0</v>
      </c>
      <c r="DI40" s="21">
        <f t="shared" si="188"/>
        <v>0</v>
      </c>
      <c r="DJ40" s="21">
        <f t="shared" si="189"/>
        <v>57712.814314359559</v>
      </c>
      <c r="DK40" s="21">
        <f t="shared" si="190"/>
        <v>63861.818721356271</v>
      </c>
      <c r="DL40" s="21">
        <f t="shared" si="191"/>
        <v>30450.833305251374</v>
      </c>
      <c r="DM40" s="21">
        <f t="shared" si="192"/>
        <v>14519.683697295517</v>
      </c>
      <c r="DN40" s="21">
        <f t="shared" si="193"/>
        <v>6923.3332261015421</v>
      </c>
      <c r="DO40" s="21">
        <f t="shared" si="194"/>
        <v>3301.2123708011181</v>
      </c>
      <c r="DP40" s="21">
        <f t="shared" si="195"/>
        <v>1574.0984853125651</v>
      </c>
      <c r="DQ40" s="21">
        <f t="shared" si="196"/>
        <v>1752.2790185810081</v>
      </c>
      <c r="DR40" s="21">
        <f t="shared" si="197"/>
        <v>0</v>
      </c>
      <c r="DS40" s="21">
        <f t="shared" si="198"/>
        <v>5259291.1048504766</v>
      </c>
      <c r="DT40" s="21">
        <f t="shared" si="199"/>
        <v>5380526.9297400117</v>
      </c>
      <c r="DU40" s="21">
        <f t="shared" si="200"/>
        <v>4494528.9980142619</v>
      </c>
      <c r="DV40" s="13">
        <f t="shared" si="201"/>
        <v>0</v>
      </c>
      <c r="DW40" s="13">
        <f t="shared" si="202"/>
        <v>0</v>
      </c>
      <c r="DX40" s="13">
        <f t="shared" si="203"/>
        <v>0</v>
      </c>
      <c r="DY40" s="13">
        <f t="shared" si="204"/>
        <v>0</v>
      </c>
      <c r="DZ40" s="13">
        <f t="shared" si="205"/>
        <v>191553.89752622502</v>
      </c>
      <c r="EA40" s="13">
        <f t="shared" si="206"/>
        <v>308180.63760542101</v>
      </c>
      <c r="EB40" s="13">
        <f t="shared" si="207"/>
        <v>205325.28689072127</v>
      </c>
      <c r="EC40" s="13">
        <f t="shared" si="208"/>
        <v>132823.97362160476</v>
      </c>
      <c r="ED40" s="13">
        <f t="shared" si="209"/>
        <v>76862.947303596186</v>
      </c>
      <c r="EE40" s="13">
        <f t="shared" si="210"/>
        <v>43921.335424368495</v>
      </c>
      <c r="EF40" s="13">
        <f t="shared" si="211"/>
        <v>23907.306077416048</v>
      </c>
      <c r="EG40" s="13">
        <f t="shared" si="212"/>
        <v>29610.823328230355</v>
      </c>
      <c r="EH40" s="13">
        <f t="shared" si="213"/>
        <v>0</v>
      </c>
      <c r="EI40" s="13">
        <f t="shared" si="214"/>
        <v>52592.911048504764</v>
      </c>
      <c r="EJ40" s="13">
        <f t="shared" si="215"/>
        <v>107610.53859480024</v>
      </c>
      <c r="EK40" s="13">
        <f t="shared" si="216"/>
        <v>134835.86994042786</v>
      </c>
      <c r="EL40" s="21">
        <f t="shared" si="120"/>
        <v>1012186.207777583</v>
      </c>
      <c r="EM40" s="21">
        <f t="shared" si="121"/>
        <v>295039.31958373287</v>
      </c>
      <c r="EN40" s="21">
        <f t="shared" si="217"/>
        <v>15182793116.663746</v>
      </c>
      <c r="EO40" s="21">
        <f t="shared" si="218"/>
        <v>6638384690.6339893</v>
      </c>
      <c r="EP40" s="21">
        <f t="shared" si="219"/>
        <v>12930256686.800488</v>
      </c>
      <c r="EQ40" s="21">
        <f t="shared" si="220"/>
        <v>4539308746.2171612</v>
      </c>
      <c r="ER40" s="21">
        <f t="shared" si="221"/>
        <v>2033116921.1403437</v>
      </c>
      <c r="ES40" s="21">
        <f t="shared" si="222"/>
        <v>713748044.27785218</v>
      </c>
    </row>
    <row r="41" spans="1:149" x14ac:dyDescent="0.25">
      <c r="A41" s="19" t="s">
        <v>81</v>
      </c>
      <c r="B41" s="19">
        <f t="shared" ref="B41:M41" si="243">IF($B$61=0,B66,B71)</f>
        <v>0</v>
      </c>
      <c r="C41" s="19">
        <f t="shared" si="243"/>
        <v>0</v>
      </c>
      <c r="D41" s="19">
        <f t="shared" si="243"/>
        <v>4.0000000000000001E-8</v>
      </c>
      <c r="E41" s="19">
        <f t="shared" si="243"/>
        <v>7.4005372096697751E-8</v>
      </c>
      <c r="F41" s="19">
        <f t="shared" si="243"/>
        <v>1.2306778322009795E-7</v>
      </c>
      <c r="G41" s="19">
        <f t="shared" si="243"/>
        <v>1.924221835993048E-7</v>
      </c>
      <c r="H41" s="19">
        <f t="shared" si="243"/>
        <v>2.8791910254384573E-7</v>
      </c>
      <c r="I41" s="19">
        <f t="shared" si="243"/>
        <v>4.1682414283457096E-7</v>
      </c>
      <c r="J41" s="19">
        <f t="shared" si="243"/>
        <v>5.36132722389003E-7</v>
      </c>
      <c r="K41" s="19">
        <f t="shared" si="243"/>
        <v>6.7801232422183606E-7</v>
      </c>
      <c r="L41" s="19">
        <f t="shared" si="243"/>
        <v>8.1169221045978823E-7</v>
      </c>
      <c r="M41" s="19">
        <f t="shared" si="243"/>
        <v>9.4264496760941696E-7</v>
      </c>
      <c r="O41" s="3">
        <v>39</v>
      </c>
      <c r="P41" s="21">
        <f t="shared" si="122"/>
        <v>450507.28597265156</v>
      </c>
      <c r="Q41" s="21">
        <f t="shared" si="123"/>
        <v>419815.18888336571</v>
      </c>
      <c r="R41" s="13">
        <f t="shared" si="240"/>
        <v>692036.18674478866</v>
      </c>
      <c r="S41" s="13">
        <f t="shared" si="224"/>
        <v>512673.04845022585</v>
      </c>
      <c r="T41" s="13">
        <f t="shared" si="225"/>
        <v>399270.2060969302</v>
      </c>
      <c r="U41" s="13">
        <f t="shared" si="226"/>
        <v>326894.83561693679</v>
      </c>
      <c r="V41" s="13">
        <f t="shared" si="227"/>
        <v>267638.89915300609</v>
      </c>
      <c r="W41" s="13">
        <f t="shared" si="228"/>
        <v>167224.05118639534</v>
      </c>
      <c r="X41" s="13">
        <f t="shared" si="229"/>
        <v>79736.393196513018</v>
      </c>
      <c r="Y41" s="13">
        <f t="shared" si="230"/>
        <v>38020.207789306631</v>
      </c>
      <c r="Z41" s="13">
        <f t="shared" si="231"/>
        <v>18128.942011940988</v>
      </c>
      <c r="AA41" s="13">
        <f t="shared" si="232"/>
        <v>8644.3141050460763</v>
      </c>
      <c r="AB41" s="13">
        <f t="shared" si="233"/>
        <v>4121.8175882511196</v>
      </c>
      <c r="AC41" s="13">
        <f t="shared" si="234"/>
        <v>4588.3794197897141</v>
      </c>
      <c r="AD41" s="13">
        <f t="shared" si="235"/>
        <v>47617251.759785958</v>
      </c>
      <c r="AE41" s="13">
        <f t="shared" si="236"/>
        <v>32978643.329569951</v>
      </c>
      <c r="AF41" s="13">
        <f t="shared" si="237"/>
        <v>18515672.068192102</v>
      </c>
      <c r="AG41" s="13">
        <f t="shared" si="238"/>
        <v>15466752.771219073</v>
      </c>
      <c r="AH41" s="21">
        <f t="shared" si="137"/>
        <v>0</v>
      </c>
      <c r="AI41" s="21">
        <f t="shared" si="138"/>
        <v>1538.0191453506775</v>
      </c>
      <c r="AJ41" s="21">
        <f t="shared" si="139"/>
        <v>19753.368091111286</v>
      </c>
      <c r="AK41" s="21">
        <f t="shared" si="140"/>
        <v>89397.135045558069</v>
      </c>
      <c r="AL41" s="21">
        <f t="shared" si="141"/>
        <v>154751.62874183818</v>
      </c>
      <c r="AM41" s="21">
        <f t="shared" si="142"/>
        <v>135486.68652438789</v>
      </c>
      <c r="AN41" s="21">
        <f t="shared" si="143"/>
        <v>74692.017163765195</v>
      </c>
      <c r="AO41" s="21">
        <f t="shared" si="144"/>
        <v>37429.89403678845</v>
      </c>
      <c r="AP41" s="21">
        <f t="shared" si="145"/>
        <v>18030.664063139411</v>
      </c>
      <c r="AQ41" s="21">
        <f t="shared" si="146"/>
        <v>8618.3811627309387</v>
      </c>
      <c r="AR41" s="21">
        <f t="shared" si="147"/>
        <v>4121.8175882511196</v>
      </c>
      <c r="AS41" s="21">
        <f t="shared" si="148"/>
        <v>4588.3794197897141</v>
      </c>
      <c r="AT41" s="21">
        <f t="shared" si="149"/>
        <v>0</v>
      </c>
      <c r="AU41" s="21">
        <f t="shared" si="150"/>
        <v>16489321.664784975</v>
      </c>
      <c r="AV41" s="21">
        <f t="shared" si="151"/>
        <v>18515672.068192102</v>
      </c>
      <c r="AW41" s="21">
        <f t="shared" si="152"/>
        <v>15466752.771219073</v>
      </c>
      <c r="AX41" s="13">
        <f t="shared" si="100"/>
        <v>0.2</v>
      </c>
      <c r="AY41" s="13">
        <f t="shared" si="124"/>
        <v>0.6</v>
      </c>
      <c r="AZ41" s="13">
        <f t="shared" si="125"/>
        <v>1.2658</v>
      </c>
      <c r="BA41" s="13">
        <f t="shared" si="126"/>
        <v>2.1566489790157632</v>
      </c>
      <c r="BB41" s="13">
        <f t="shared" si="127"/>
        <v>3.3190878519551155</v>
      </c>
      <c r="BC41" s="13">
        <f t="shared" si="128"/>
        <v>4.8257417647349747</v>
      </c>
      <c r="BD41" s="13">
        <f t="shared" si="129"/>
        <v>6.7428464828388028</v>
      </c>
      <c r="BE41" s="13">
        <f t="shared" si="130"/>
        <v>9.1478562794685381</v>
      </c>
      <c r="BF41" s="13">
        <f t="shared" si="131"/>
        <v>11.102015386518676</v>
      </c>
      <c r="BG41" s="13">
        <f t="shared" si="132"/>
        <v>13.304608737747619</v>
      </c>
      <c r="BH41" s="13">
        <f t="shared" si="133"/>
        <v>15.187937025200085</v>
      </c>
      <c r="BI41" s="13">
        <f t="shared" si="134"/>
        <v>16.898466141643883</v>
      </c>
      <c r="BJ41" s="13">
        <f t="shared" si="153"/>
        <v>4.0000000000000001E-3</v>
      </c>
      <c r="BK41" s="13">
        <f t="shared" si="154"/>
        <v>0.01</v>
      </c>
      <c r="BL41" s="13">
        <f t="shared" si="155"/>
        <v>0.02</v>
      </c>
      <c r="BM41" s="13">
        <f t="shared" si="156"/>
        <v>0.03</v>
      </c>
      <c r="BN41" s="30">
        <f t="shared" si="102"/>
        <v>4693570.9588963529</v>
      </c>
      <c r="BO41" s="30">
        <f t="shared" si="103"/>
        <v>1354571.4648352577</v>
      </c>
      <c r="BP41" s="30">
        <f t="shared" si="104"/>
        <v>2687202.3534376654</v>
      </c>
      <c r="BQ41" s="30">
        <f t="shared" si="105"/>
        <v>999209.24114826403</v>
      </c>
      <c r="BR41" s="36">
        <f t="shared" si="157"/>
        <v>0.3</v>
      </c>
      <c r="BS41" s="36">
        <f t="shared" si="158"/>
        <v>0.25</v>
      </c>
      <c r="BT41" s="36">
        <f t="shared" si="159"/>
        <v>0.2</v>
      </c>
      <c r="BU41" s="36">
        <f t="shared" si="160"/>
        <v>0.2</v>
      </c>
      <c r="BV41" s="36">
        <f t="shared" si="161"/>
        <v>0.2</v>
      </c>
      <c r="BW41" s="36">
        <f t="shared" si="162"/>
        <v>0.2</v>
      </c>
      <c r="BX41" s="36">
        <f t="shared" si="163"/>
        <v>0.2</v>
      </c>
      <c r="BY41" s="36">
        <f t="shared" si="164"/>
        <v>0.2</v>
      </c>
      <c r="BZ41" s="36">
        <f t="shared" si="165"/>
        <v>0.2</v>
      </c>
      <c r="CA41" s="36">
        <f t="shared" si="166"/>
        <v>0.2</v>
      </c>
      <c r="CB41" s="36">
        <f t="shared" si="167"/>
        <v>0.2</v>
      </c>
      <c r="CC41" s="36">
        <f t="shared" si="168"/>
        <v>0.2</v>
      </c>
      <c r="CD41" s="35">
        <f t="shared" si="169"/>
        <v>0.36733482711485382</v>
      </c>
      <c r="CE41" s="35">
        <f t="shared" si="170"/>
        <v>0.36733482711485382</v>
      </c>
      <c r="CF41" s="35">
        <f t="shared" si="171"/>
        <v>0.36733482711485382</v>
      </c>
      <c r="CG41" s="35">
        <f t="shared" si="172"/>
        <v>0.36733482711485382</v>
      </c>
      <c r="CH41" s="28">
        <f t="shared" si="173"/>
        <v>0</v>
      </c>
      <c r="CI41" s="28">
        <f t="shared" si="174"/>
        <v>0</v>
      </c>
      <c r="CJ41" s="28">
        <f t="shared" si="175"/>
        <v>15770.598644279777</v>
      </c>
      <c r="CK41" s="28">
        <f t="shared" si="176"/>
        <v>23888.704046431423</v>
      </c>
      <c r="CL41" s="28">
        <f t="shared" si="177"/>
        <v>32524.819622134473</v>
      </c>
      <c r="CM41" s="28">
        <f t="shared" si="178"/>
        <v>31774.239383681059</v>
      </c>
      <c r="CN41" s="28">
        <f t="shared" si="179"/>
        <v>22669.834560426218</v>
      </c>
      <c r="CO41" s="28">
        <f t="shared" si="180"/>
        <v>15649.073696044661</v>
      </c>
      <c r="CP41" s="28">
        <f t="shared" si="181"/>
        <v>9597.6754196845322</v>
      </c>
      <c r="CQ41" s="28">
        <f t="shared" si="182"/>
        <v>5787.4787757667009</v>
      </c>
      <c r="CR41" s="28">
        <f t="shared" si="183"/>
        <v>3303.706290454882</v>
      </c>
      <c r="CS41" s="28">
        <f t="shared" si="184"/>
        <v>4270.9920248272992</v>
      </c>
      <c r="CT41" s="44">
        <f t="shared" si="106"/>
        <v>0</v>
      </c>
      <c r="CU41" s="44">
        <f t="shared" si="107"/>
        <v>0</v>
      </c>
      <c r="CV41" s="44">
        <f t="shared" si="108"/>
        <v>3.9498561133437471E-2</v>
      </c>
      <c r="CW41" s="44">
        <f t="shared" si="109"/>
        <v>7.307764284910509E-2</v>
      </c>
      <c r="CX41" s="44">
        <f t="shared" si="110"/>
        <v>0.12152500897689168</v>
      </c>
      <c r="CY41" s="44">
        <f t="shared" si="111"/>
        <v>0.1900099845581667</v>
      </c>
      <c r="CZ41" s="44">
        <f t="shared" si="112"/>
        <v>0.28430975683281345</v>
      </c>
      <c r="DA41" s="44">
        <f t="shared" si="113"/>
        <v>0.41159884719109924</v>
      </c>
      <c r="DB41" s="44">
        <f t="shared" si="114"/>
        <v>0.52941177777295734</v>
      </c>
      <c r="DC41" s="44">
        <f t="shared" si="115"/>
        <v>0.66951278093750533</v>
      </c>
      <c r="DD41" s="44">
        <f t="shared" si="116"/>
        <v>0.80151685990952337</v>
      </c>
      <c r="DE41" s="44">
        <f t="shared" si="117"/>
        <v>0.93082799700619334</v>
      </c>
      <c r="DF41" s="21">
        <f t="shared" si="185"/>
        <v>0</v>
      </c>
      <c r="DG41" s="21">
        <f t="shared" si="186"/>
        <v>0</v>
      </c>
      <c r="DH41" s="21">
        <f t="shared" si="187"/>
        <v>0</v>
      </c>
      <c r="DI41" s="21">
        <f t="shared" si="188"/>
        <v>0</v>
      </c>
      <c r="DJ41" s="21">
        <f t="shared" si="189"/>
        <v>57712.80115844564</v>
      </c>
      <c r="DK41" s="21">
        <f t="shared" si="190"/>
        <v>63861.798609010555</v>
      </c>
      <c r="DL41" s="21">
        <f t="shared" si="191"/>
        <v>30450.820010625761</v>
      </c>
      <c r="DM41" s="21">
        <f t="shared" si="192"/>
        <v>14519.674865471561</v>
      </c>
      <c r="DN41" s="21">
        <f t="shared" si="193"/>
        <v>6923.3273296945181</v>
      </c>
      <c r="DO41" s="21">
        <f t="shared" si="194"/>
        <v>3301.2084241049274</v>
      </c>
      <c r="DP41" s="21">
        <f t="shared" si="195"/>
        <v>1574.0958483930428</v>
      </c>
      <c r="DQ41" s="21">
        <f t="shared" si="196"/>
        <v>1752.2728361707009</v>
      </c>
      <c r="DR41" s="21">
        <f t="shared" si="197"/>
        <v>0</v>
      </c>
      <c r="DS41" s="21">
        <f t="shared" si="198"/>
        <v>5259292.1714856718</v>
      </c>
      <c r="DT41" s="21">
        <f t="shared" si="199"/>
        <v>5380528.9551523011</v>
      </c>
      <c r="DU41" s="21">
        <f t="shared" si="200"/>
        <v>4494533.6481027864</v>
      </c>
      <c r="DV41" s="13">
        <f t="shared" si="201"/>
        <v>0</v>
      </c>
      <c r="DW41" s="13">
        <f t="shared" si="202"/>
        <v>0</v>
      </c>
      <c r="DX41" s="13">
        <f t="shared" si="203"/>
        <v>0</v>
      </c>
      <c r="DY41" s="13">
        <f t="shared" si="204"/>
        <v>0</v>
      </c>
      <c r="DZ41" s="13">
        <f t="shared" si="205"/>
        <v>191553.85722729805</v>
      </c>
      <c r="EA41" s="13">
        <f t="shared" si="206"/>
        <v>308180.54871859617</v>
      </c>
      <c r="EB41" s="13">
        <f t="shared" si="207"/>
        <v>205325.20460820536</v>
      </c>
      <c r="EC41" s="13">
        <f t="shared" si="208"/>
        <v>132823.89889394553</v>
      </c>
      <c r="ED41" s="13">
        <f t="shared" si="209"/>
        <v>76862.8865401738</v>
      </c>
      <c r="EE41" s="13">
        <f t="shared" si="210"/>
        <v>43921.286444472469</v>
      </c>
      <c r="EF41" s="13">
        <f t="shared" si="211"/>
        <v>23907.268617022437</v>
      </c>
      <c r="EG41" s="13">
        <f t="shared" si="212"/>
        <v>29610.72319295289</v>
      </c>
      <c r="EH41" s="13">
        <f t="shared" si="213"/>
        <v>0</v>
      </c>
      <c r="EI41" s="13">
        <f t="shared" si="214"/>
        <v>52592.921714856719</v>
      </c>
      <c r="EJ41" s="13">
        <f t="shared" si="215"/>
        <v>107610.57910304602</v>
      </c>
      <c r="EK41" s="13">
        <f t="shared" si="216"/>
        <v>134836.00944308357</v>
      </c>
      <c r="EL41" s="21">
        <f t="shared" si="120"/>
        <v>1012185.6742426667</v>
      </c>
      <c r="EM41" s="21">
        <f t="shared" si="121"/>
        <v>295039.51026098628</v>
      </c>
      <c r="EN41" s="21">
        <f t="shared" si="217"/>
        <v>15182785113.640001</v>
      </c>
      <c r="EO41" s="21">
        <f t="shared" si="218"/>
        <v>6638388980.8721914</v>
      </c>
      <c r="EP41" s="21">
        <f t="shared" si="219"/>
        <v>12930248683.776743</v>
      </c>
      <c r="EQ41" s="21">
        <f t="shared" si="220"/>
        <v>4539313036.4553623</v>
      </c>
      <c r="ER41" s="21">
        <f t="shared" si="221"/>
        <v>1933959441.8377814</v>
      </c>
      <c r="ES41" s="21">
        <f t="shared" si="222"/>
        <v>678938783.08193529</v>
      </c>
    </row>
    <row r="42" spans="1:149" x14ac:dyDescent="0.25">
      <c r="A42" s="17" t="s">
        <v>14</v>
      </c>
      <c r="B42" s="18">
        <v>1</v>
      </c>
      <c r="C42" s="18">
        <v>2</v>
      </c>
      <c r="D42" s="18">
        <v>3</v>
      </c>
      <c r="E42" s="18">
        <v>4</v>
      </c>
      <c r="O42" s="3">
        <v>40</v>
      </c>
      <c r="P42" s="21">
        <f t="shared" si="122"/>
        <v>450507.28597265156</v>
      </c>
      <c r="Q42" s="21">
        <f t="shared" si="123"/>
        <v>419815.18888336571</v>
      </c>
      <c r="R42" s="13">
        <f t="shared" si="240"/>
        <v>692036.15571826894</v>
      </c>
      <c r="S42" s="13">
        <f t="shared" si="224"/>
        <v>512673.01651163539</v>
      </c>
      <c r="T42" s="13">
        <f t="shared" si="225"/>
        <v>399270.17159264017</v>
      </c>
      <c r="U42" s="13">
        <f t="shared" si="226"/>
        <v>326894.79651934066</v>
      </c>
      <c r="V42" s="13">
        <f t="shared" si="227"/>
        <v>267638.85494195775</v>
      </c>
      <c r="W42" s="13">
        <f t="shared" si="228"/>
        <v>167224.01306686769</v>
      </c>
      <c r="X42" s="13">
        <f t="shared" si="229"/>
        <v>79736.368084702262</v>
      </c>
      <c r="Y42" s="13">
        <f t="shared" si="230"/>
        <v>38020.191189943871</v>
      </c>
      <c r="Z42" s="13">
        <f t="shared" si="231"/>
        <v>18128.930984729399</v>
      </c>
      <c r="AA42" s="13">
        <f t="shared" si="232"/>
        <v>8644.306742928331</v>
      </c>
      <c r="AB42" s="13">
        <f t="shared" si="233"/>
        <v>4121.8126604973286</v>
      </c>
      <c r="AC42" s="13">
        <f t="shared" si="234"/>
        <v>4588.367679232254</v>
      </c>
      <c r="AD42" s="13">
        <f t="shared" si="235"/>
        <v>47617253.16366449</v>
      </c>
      <c r="AE42" s="13">
        <f t="shared" si="236"/>
        <v>32978647.295549825</v>
      </c>
      <c r="AF42" s="13">
        <f t="shared" si="237"/>
        <v>18515676.62835722</v>
      </c>
      <c r="AG42" s="13">
        <f t="shared" si="238"/>
        <v>15466763.920112656</v>
      </c>
      <c r="AH42" s="21">
        <f t="shared" si="137"/>
        <v>0</v>
      </c>
      <c r="AI42" s="21">
        <f t="shared" si="138"/>
        <v>1538.0190495349061</v>
      </c>
      <c r="AJ42" s="21">
        <f t="shared" si="139"/>
        <v>19753.366384056939</v>
      </c>
      <c r="AK42" s="21">
        <f t="shared" si="140"/>
        <v>89397.124353394407</v>
      </c>
      <c r="AL42" s="21">
        <f t="shared" si="141"/>
        <v>154751.60317854467</v>
      </c>
      <c r="AM42" s="21">
        <f t="shared" si="142"/>
        <v>135486.65563954532</v>
      </c>
      <c r="AN42" s="21">
        <f t="shared" si="143"/>
        <v>74691.993640606888</v>
      </c>
      <c r="AO42" s="21">
        <f t="shared" si="144"/>
        <v>37429.877695152638</v>
      </c>
      <c r="AP42" s="21">
        <f t="shared" si="145"/>
        <v>18030.653095706919</v>
      </c>
      <c r="AQ42" s="21">
        <f t="shared" si="146"/>
        <v>8618.3738226995465</v>
      </c>
      <c r="AR42" s="21">
        <f t="shared" si="147"/>
        <v>4121.8126604973286</v>
      </c>
      <c r="AS42" s="21">
        <f t="shared" si="148"/>
        <v>4588.367679232254</v>
      </c>
      <c r="AT42" s="21">
        <f t="shared" si="149"/>
        <v>0</v>
      </c>
      <c r="AU42" s="21">
        <f t="shared" si="150"/>
        <v>16489323.647774912</v>
      </c>
      <c r="AV42" s="21">
        <f t="shared" si="151"/>
        <v>18515676.62835722</v>
      </c>
      <c r="AW42" s="21">
        <f t="shared" si="152"/>
        <v>15466763.920112656</v>
      </c>
      <c r="AX42" s="13">
        <f t="shared" si="100"/>
        <v>0.2</v>
      </c>
      <c r="AY42" s="13">
        <f t="shared" si="124"/>
        <v>0.6</v>
      </c>
      <c r="AZ42" s="13">
        <f t="shared" si="125"/>
        <v>1.2658</v>
      </c>
      <c r="BA42" s="13">
        <f t="shared" si="126"/>
        <v>2.1566489927934063</v>
      </c>
      <c r="BB42" s="13">
        <f t="shared" si="127"/>
        <v>3.3190878940106994</v>
      </c>
      <c r="BC42" s="13">
        <f t="shared" si="128"/>
        <v>4.8257418569821748</v>
      </c>
      <c r="BD42" s="13">
        <f t="shared" si="129"/>
        <v>6.7428466571684762</v>
      </c>
      <c r="BE42" s="13">
        <f t="shared" si="130"/>
        <v>9.1478565807085843</v>
      </c>
      <c r="BF42" s="13">
        <f t="shared" si="131"/>
        <v>11.102015875985423</v>
      </c>
      <c r="BG42" s="13">
        <f t="shared" si="132"/>
        <v>13.304609508739212</v>
      </c>
      <c r="BH42" s="13">
        <f t="shared" si="133"/>
        <v>15.187938211075746</v>
      </c>
      <c r="BI42" s="13">
        <f t="shared" si="134"/>
        <v>16.898467926168419</v>
      </c>
      <c r="BJ42" s="13">
        <f t="shared" si="153"/>
        <v>4.0000000000000001E-3</v>
      </c>
      <c r="BK42" s="13">
        <f t="shared" si="154"/>
        <v>0.01</v>
      </c>
      <c r="BL42" s="13">
        <f t="shared" si="155"/>
        <v>0.02</v>
      </c>
      <c r="BM42" s="13">
        <f t="shared" si="156"/>
        <v>0.03</v>
      </c>
      <c r="BN42" s="30">
        <f t="shared" si="102"/>
        <v>4693569.745202682</v>
      </c>
      <c r="BO42" s="30">
        <f t="shared" si="103"/>
        <v>1354571.9357806803</v>
      </c>
      <c r="BP42" s="30">
        <f t="shared" si="104"/>
        <v>2687201.3665910279</v>
      </c>
      <c r="BQ42" s="30">
        <f t="shared" si="105"/>
        <v>999209.68664827326</v>
      </c>
      <c r="BR42" s="36">
        <f t="shared" si="157"/>
        <v>0.3</v>
      </c>
      <c r="BS42" s="36">
        <f t="shared" si="158"/>
        <v>0.25</v>
      </c>
      <c r="BT42" s="36">
        <f t="shared" si="159"/>
        <v>0.2</v>
      </c>
      <c r="BU42" s="36">
        <f t="shared" si="160"/>
        <v>0.2</v>
      </c>
      <c r="BV42" s="36">
        <f t="shared" si="161"/>
        <v>0.2</v>
      </c>
      <c r="BW42" s="36">
        <f t="shared" si="162"/>
        <v>0.2</v>
      </c>
      <c r="BX42" s="36">
        <f t="shared" si="163"/>
        <v>0.2</v>
      </c>
      <c r="BY42" s="36">
        <f t="shared" si="164"/>
        <v>0.2</v>
      </c>
      <c r="BZ42" s="36">
        <f t="shared" si="165"/>
        <v>0.2</v>
      </c>
      <c r="CA42" s="36">
        <f t="shared" si="166"/>
        <v>0.2</v>
      </c>
      <c r="CB42" s="36">
        <f t="shared" si="167"/>
        <v>0.2</v>
      </c>
      <c r="CC42" s="36">
        <f t="shared" si="168"/>
        <v>0.2</v>
      </c>
      <c r="CD42" s="35">
        <f t="shared" si="169"/>
        <v>0.36733476994541414</v>
      </c>
      <c r="CE42" s="35">
        <f t="shared" si="170"/>
        <v>0.36733476994541414</v>
      </c>
      <c r="CF42" s="35">
        <f t="shared" si="171"/>
        <v>0.36733476994541414</v>
      </c>
      <c r="CG42" s="35">
        <f t="shared" si="172"/>
        <v>0.36733476994541414</v>
      </c>
      <c r="CH42" s="28">
        <f t="shared" si="173"/>
        <v>0</v>
      </c>
      <c r="CI42" s="28">
        <f t="shared" si="174"/>
        <v>0</v>
      </c>
      <c r="CJ42" s="28">
        <f t="shared" si="175"/>
        <v>15770.60294459384</v>
      </c>
      <c r="CK42" s="28">
        <f t="shared" si="176"/>
        <v>23888.709767646884</v>
      </c>
      <c r="CL42" s="28">
        <f t="shared" si="177"/>
        <v>32524.825928969669</v>
      </c>
      <c r="CM42" s="28">
        <f t="shared" si="178"/>
        <v>31774.243550641178</v>
      </c>
      <c r="CN42" s="28">
        <f t="shared" si="179"/>
        <v>22669.835561574379</v>
      </c>
      <c r="CO42" s="28">
        <f t="shared" si="180"/>
        <v>15649.072483308679</v>
      </c>
      <c r="CP42" s="28">
        <f t="shared" si="181"/>
        <v>9597.6730282491008</v>
      </c>
      <c r="CQ42" s="28">
        <f t="shared" si="182"/>
        <v>5787.4759250028328</v>
      </c>
      <c r="CR42" s="28">
        <f t="shared" si="183"/>
        <v>3303.7035271287691</v>
      </c>
      <c r="CS42" s="28">
        <f t="shared" si="184"/>
        <v>4270.9826300868426</v>
      </c>
      <c r="CT42" s="44">
        <f t="shared" si="106"/>
        <v>0</v>
      </c>
      <c r="CU42" s="44">
        <f t="shared" si="107"/>
        <v>0</v>
      </c>
      <c r="CV42" s="44">
        <f t="shared" si="108"/>
        <v>3.9498575317276574E-2</v>
      </c>
      <c r="CW42" s="44">
        <f t="shared" si="109"/>
        <v>7.3077669091112352E-2</v>
      </c>
      <c r="CX42" s="44">
        <f t="shared" si="110"/>
        <v>0.12152505261623263</v>
      </c>
      <c r="CY42" s="44">
        <f t="shared" si="111"/>
        <v>0.19001005279029901</v>
      </c>
      <c r="CZ42" s="44">
        <f t="shared" si="112"/>
        <v>0.28430985892776922</v>
      </c>
      <c r="DA42" s="44">
        <f t="shared" si="113"/>
        <v>0.41159899499526376</v>
      </c>
      <c r="DB42" s="44">
        <f t="shared" si="114"/>
        <v>0.52941196788346423</v>
      </c>
      <c r="DC42" s="44">
        <f t="shared" si="115"/>
        <v>0.66951302135794832</v>
      </c>
      <c r="DD42" s="44">
        <f t="shared" si="116"/>
        <v>0.8015171477323163</v>
      </c>
      <c r="DE42" s="44">
        <f t="shared" si="117"/>
        <v>0.93082833126430753</v>
      </c>
      <c r="DF42" s="21">
        <f t="shared" si="185"/>
        <v>0</v>
      </c>
      <c r="DG42" s="21">
        <f t="shared" si="186"/>
        <v>0</v>
      </c>
      <c r="DH42" s="21">
        <f t="shared" si="187"/>
        <v>0</v>
      </c>
      <c r="DI42" s="21">
        <f t="shared" si="188"/>
        <v>0</v>
      </c>
      <c r="DJ42" s="21">
        <f t="shared" si="189"/>
        <v>57712.791624915757</v>
      </c>
      <c r="DK42" s="21">
        <f t="shared" si="190"/>
        <v>63861.784051406066</v>
      </c>
      <c r="DL42" s="21">
        <f t="shared" si="191"/>
        <v>30450.810420585392</v>
      </c>
      <c r="DM42" s="21">
        <f t="shared" si="192"/>
        <v>14519.668526280793</v>
      </c>
      <c r="DN42" s="21">
        <f t="shared" si="193"/>
        <v>6923.3231184727429</v>
      </c>
      <c r="DO42" s="21">
        <f t="shared" si="194"/>
        <v>3301.2056125591153</v>
      </c>
      <c r="DP42" s="21">
        <f t="shared" si="195"/>
        <v>1574.0939665152987</v>
      </c>
      <c r="DQ42" s="21">
        <f t="shared" si="196"/>
        <v>1752.2683525266868</v>
      </c>
      <c r="DR42" s="21">
        <f t="shared" si="197"/>
        <v>0</v>
      </c>
      <c r="DS42" s="21">
        <f t="shared" si="198"/>
        <v>5259292.9399148561</v>
      </c>
      <c r="DT42" s="21">
        <f t="shared" si="199"/>
        <v>5380530.4141343022</v>
      </c>
      <c r="DU42" s="21">
        <f t="shared" si="200"/>
        <v>4494536.9996875329</v>
      </c>
      <c r="DV42" s="13">
        <f t="shared" si="201"/>
        <v>0</v>
      </c>
      <c r="DW42" s="13">
        <f t="shared" si="202"/>
        <v>0</v>
      </c>
      <c r="DX42" s="13">
        <f t="shared" si="203"/>
        <v>0</v>
      </c>
      <c r="DY42" s="13">
        <f t="shared" si="204"/>
        <v>0</v>
      </c>
      <c r="DZ42" s="13">
        <f t="shared" si="205"/>
        <v>191553.82801181998</v>
      </c>
      <c r="EA42" s="13">
        <f t="shared" si="206"/>
        <v>308180.48435842694</v>
      </c>
      <c r="EB42" s="13">
        <f t="shared" si="207"/>
        <v>205325.14525251521</v>
      </c>
      <c r="EC42" s="13">
        <f t="shared" si="208"/>
        <v>132823.84527784507</v>
      </c>
      <c r="ED42" s="13">
        <f t="shared" si="209"/>
        <v>76862.843175861301</v>
      </c>
      <c r="EE42" s="13">
        <f t="shared" si="210"/>
        <v>43921.25158315726</v>
      </c>
      <c r="EF42" s="13">
        <f t="shared" si="211"/>
        <v>23907.241901861493</v>
      </c>
      <c r="EG42" s="13">
        <f t="shared" si="212"/>
        <v>29610.650553212192</v>
      </c>
      <c r="EH42" s="13">
        <f t="shared" si="213"/>
        <v>0</v>
      </c>
      <c r="EI42" s="13">
        <f t="shared" si="214"/>
        <v>52592.929399148561</v>
      </c>
      <c r="EJ42" s="13">
        <f t="shared" si="215"/>
        <v>107610.60828268605</v>
      </c>
      <c r="EK42" s="13">
        <f t="shared" si="216"/>
        <v>134836.10999062599</v>
      </c>
      <c r="EL42" s="21">
        <f t="shared" si="120"/>
        <v>1012185.2901146993</v>
      </c>
      <c r="EM42" s="21">
        <f t="shared" si="121"/>
        <v>295039.64767246059</v>
      </c>
      <c r="EN42" s="21">
        <f t="shared" si="217"/>
        <v>15182779351.72049</v>
      </c>
      <c r="EO42" s="21">
        <f t="shared" si="218"/>
        <v>6638392072.6303635</v>
      </c>
      <c r="EP42" s="21">
        <f t="shared" si="219"/>
        <v>12930242921.857231</v>
      </c>
      <c r="EQ42" s="21">
        <f t="shared" si="220"/>
        <v>4539316128.2135353</v>
      </c>
      <c r="ER42" s="21">
        <f t="shared" si="221"/>
        <v>1839638307.0953257</v>
      </c>
      <c r="ES42" s="21">
        <f t="shared" si="222"/>
        <v>645826987.77926803</v>
      </c>
    </row>
    <row r="43" spans="1:149" x14ac:dyDescent="0.25">
      <c r="A43" s="19" t="s">
        <v>13</v>
      </c>
      <c r="B43" s="26">
        <v>0</v>
      </c>
      <c r="C43" s="26">
        <v>4.9999999999999998E-7</v>
      </c>
      <c r="D43" s="26">
        <v>9.9999999999999995E-7</v>
      </c>
      <c r="E43" s="26">
        <v>9.9999999999999995E-7</v>
      </c>
      <c r="O43" s="3">
        <v>41</v>
      </c>
      <c r="P43" s="21">
        <f t="shared" si="122"/>
        <v>450507.28597265156</v>
      </c>
      <c r="Q43" s="21">
        <f t="shared" si="123"/>
        <v>419815.18888336571</v>
      </c>
      <c r="R43" s="13">
        <f t="shared" si="240"/>
        <v>692036.1334054399</v>
      </c>
      <c r="S43" s="13">
        <f t="shared" si="224"/>
        <v>512672.99352662422</v>
      </c>
      <c r="T43" s="13">
        <f t="shared" si="225"/>
        <v>399270.14671884093</v>
      </c>
      <c r="U43" s="13">
        <f t="shared" si="226"/>
        <v>326894.76826961729</v>
      </c>
      <c r="V43" s="13">
        <f t="shared" si="227"/>
        <v>267638.82293155341</v>
      </c>
      <c r="W43" s="13">
        <f t="shared" si="228"/>
        <v>167223.98544327129</v>
      </c>
      <c r="X43" s="13">
        <f t="shared" si="229"/>
        <v>79736.349908413235</v>
      </c>
      <c r="Y43" s="13">
        <f t="shared" si="230"/>
        <v>38020.179216040771</v>
      </c>
      <c r="Z43" s="13">
        <f t="shared" si="231"/>
        <v>18128.923069762088</v>
      </c>
      <c r="AA43" s="13">
        <f t="shared" si="232"/>
        <v>8644.3014848939983</v>
      </c>
      <c r="AB43" s="13">
        <f t="shared" si="233"/>
        <v>4121.8091500661058</v>
      </c>
      <c r="AC43" s="13">
        <f t="shared" si="234"/>
        <v>4588.3592111654507</v>
      </c>
      <c r="AD43" s="13">
        <f t="shared" si="235"/>
        <v>47617254.175391465</v>
      </c>
      <c r="AE43" s="13">
        <f t="shared" si="236"/>
        <v>32978650.153215703</v>
      </c>
      <c r="AF43" s="13">
        <f t="shared" si="237"/>
        <v>18515679.913565673</v>
      </c>
      <c r="AG43" s="13">
        <f t="shared" si="238"/>
        <v>15466771.954161718</v>
      </c>
      <c r="AH43" s="21">
        <f t="shared" si="137"/>
        <v>0</v>
      </c>
      <c r="AI43" s="21">
        <f t="shared" si="138"/>
        <v>1538.0189805798727</v>
      </c>
      <c r="AJ43" s="21">
        <f t="shared" si="139"/>
        <v>19753.36515345845</v>
      </c>
      <c r="AK43" s="21">
        <f t="shared" si="140"/>
        <v>89397.116627838477</v>
      </c>
      <c r="AL43" s="21">
        <f t="shared" si="141"/>
        <v>154751.58466979192</v>
      </c>
      <c r="AM43" s="21">
        <f t="shared" si="142"/>
        <v>135486.63325861673</v>
      </c>
      <c r="AN43" s="21">
        <f t="shared" si="143"/>
        <v>74691.976614207306</v>
      </c>
      <c r="AO43" s="21">
        <f t="shared" si="144"/>
        <v>37429.865907160136</v>
      </c>
      <c r="AP43" s="21">
        <f t="shared" si="145"/>
        <v>18030.645223647061</v>
      </c>
      <c r="AQ43" s="21">
        <f t="shared" si="146"/>
        <v>8618.3685804393172</v>
      </c>
      <c r="AR43" s="21">
        <f t="shared" si="147"/>
        <v>4121.8091500661058</v>
      </c>
      <c r="AS43" s="21">
        <f t="shared" si="148"/>
        <v>4588.3592111654507</v>
      </c>
      <c r="AT43" s="21">
        <f t="shared" si="149"/>
        <v>0</v>
      </c>
      <c r="AU43" s="21">
        <f t="shared" si="150"/>
        <v>16489325.076607851</v>
      </c>
      <c r="AV43" s="21">
        <f t="shared" si="151"/>
        <v>18515679.913565673</v>
      </c>
      <c r="AW43" s="21">
        <f t="shared" si="152"/>
        <v>15466771.954161718</v>
      </c>
      <c r="AX43" s="13">
        <f t="shared" si="100"/>
        <v>0.2</v>
      </c>
      <c r="AY43" s="13">
        <f t="shared" si="124"/>
        <v>0.6</v>
      </c>
      <c r="AZ43" s="13">
        <f t="shared" si="125"/>
        <v>1.2658</v>
      </c>
      <c r="BA43" s="13">
        <f t="shared" si="126"/>
        <v>2.1566490027220935</v>
      </c>
      <c r="BB43" s="13">
        <f t="shared" si="127"/>
        <v>3.3190879243208071</v>
      </c>
      <c r="BC43" s="13">
        <f t="shared" si="128"/>
        <v>4.825741923475789</v>
      </c>
      <c r="BD43" s="13">
        <f t="shared" si="129"/>
        <v>6.742846782849421</v>
      </c>
      <c r="BE43" s="13">
        <f t="shared" si="130"/>
        <v>9.1478567979181395</v>
      </c>
      <c r="BF43" s="13">
        <f t="shared" si="131"/>
        <v>11.102016228956927</v>
      </c>
      <c r="BG43" s="13">
        <f t="shared" si="132"/>
        <v>13.304610064744635</v>
      </c>
      <c r="BH43" s="13">
        <f t="shared" si="133"/>
        <v>15.187939066214494</v>
      </c>
      <c r="BI43" s="13">
        <f t="shared" si="134"/>
        <v>16.898469212782057</v>
      </c>
      <c r="BJ43" s="13">
        <f t="shared" si="153"/>
        <v>4.0000000000000001E-3</v>
      </c>
      <c r="BK43" s="13">
        <f t="shared" si="154"/>
        <v>0.01</v>
      </c>
      <c r="BL43" s="13">
        <f t="shared" si="155"/>
        <v>0.02</v>
      </c>
      <c r="BM43" s="13">
        <f t="shared" si="156"/>
        <v>0.03</v>
      </c>
      <c r="BN43" s="30">
        <f t="shared" si="102"/>
        <v>4693568.8700424405</v>
      </c>
      <c r="BO43" s="30">
        <f t="shared" si="103"/>
        <v>1354572.275129888</v>
      </c>
      <c r="BP43" s="30">
        <f t="shared" si="104"/>
        <v>2687200.6553860367</v>
      </c>
      <c r="BQ43" s="30">
        <f t="shared" si="105"/>
        <v>999210.00766224344</v>
      </c>
      <c r="BR43" s="36">
        <f t="shared" si="157"/>
        <v>0.3</v>
      </c>
      <c r="BS43" s="36">
        <f t="shared" si="158"/>
        <v>0.25</v>
      </c>
      <c r="BT43" s="36">
        <f t="shared" si="159"/>
        <v>0.2</v>
      </c>
      <c r="BU43" s="36">
        <f t="shared" si="160"/>
        <v>0.2</v>
      </c>
      <c r="BV43" s="36">
        <f t="shared" si="161"/>
        <v>0.2</v>
      </c>
      <c r="BW43" s="36">
        <f t="shared" si="162"/>
        <v>0.2</v>
      </c>
      <c r="BX43" s="36">
        <f t="shared" si="163"/>
        <v>0.2</v>
      </c>
      <c r="BY43" s="36">
        <f t="shared" si="164"/>
        <v>0.2</v>
      </c>
      <c r="BZ43" s="36">
        <f t="shared" si="165"/>
        <v>0.2</v>
      </c>
      <c r="CA43" s="36">
        <f t="shared" si="166"/>
        <v>0.2</v>
      </c>
      <c r="CB43" s="36">
        <f t="shared" si="167"/>
        <v>0.2</v>
      </c>
      <c r="CC43" s="36">
        <f t="shared" si="168"/>
        <v>0.2</v>
      </c>
      <c r="CD43" s="35">
        <f t="shared" si="169"/>
        <v>0.36733472874042056</v>
      </c>
      <c r="CE43" s="35">
        <f t="shared" si="170"/>
        <v>0.36733472874042056</v>
      </c>
      <c r="CF43" s="35">
        <f t="shared" si="171"/>
        <v>0.36733472874042056</v>
      </c>
      <c r="CG43" s="35">
        <f t="shared" si="172"/>
        <v>0.36733472874042056</v>
      </c>
      <c r="CH43" s="28">
        <f t="shared" si="173"/>
        <v>0</v>
      </c>
      <c r="CI43" s="28">
        <f t="shared" si="174"/>
        <v>0</v>
      </c>
      <c r="CJ43" s="28">
        <f t="shared" si="175"/>
        <v>15770.60604290845</v>
      </c>
      <c r="CK43" s="28">
        <f t="shared" si="176"/>
        <v>23888.713884654775</v>
      </c>
      <c r="CL43" s="28">
        <f t="shared" si="177"/>
        <v>32524.830455012692</v>
      </c>
      <c r="CM43" s="28">
        <f t="shared" si="178"/>
        <v>31774.246523768546</v>
      </c>
      <c r="CN43" s="28">
        <f t="shared" si="179"/>
        <v>22669.836259911863</v>
      </c>
      <c r="CO43" s="28">
        <f t="shared" si="180"/>
        <v>15649.071604208249</v>
      </c>
      <c r="CP43" s="28">
        <f t="shared" si="181"/>
        <v>9597.6713214593801</v>
      </c>
      <c r="CQ43" s="28">
        <f t="shared" si="182"/>
        <v>5787.4739022442755</v>
      </c>
      <c r="CR43" s="28">
        <f t="shared" si="183"/>
        <v>3303.7015683221375</v>
      </c>
      <c r="CS43" s="28">
        <f t="shared" si="184"/>
        <v>4270.975852925957</v>
      </c>
      <c r="CT43" s="44">
        <f t="shared" si="106"/>
        <v>0</v>
      </c>
      <c r="CU43" s="44">
        <f t="shared" si="107"/>
        <v>0</v>
      </c>
      <c r="CV43" s="44">
        <f t="shared" si="108"/>
        <v>3.9498585537911093E-2</v>
      </c>
      <c r="CW43" s="44">
        <f t="shared" si="109"/>
        <v>7.3077688000658877E-2</v>
      </c>
      <c r="CX43" s="44">
        <f t="shared" si="110"/>
        <v>0.12152508406200348</v>
      </c>
      <c r="CY43" s="44">
        <f t="shared" si="111"/>
        <v>0.19001010195721937</v>
      </c>
      <c r="CZ43" s="44">
        <f t="shared" si="112"/>
        <v>0.28430993249566716</v>
      </c>
      <c r="DA43" s="44">
        <f t="shared" si="113"/>
        <v>0.41159910150044432</v>
      </c>
      <c r="DB43" s="44">
        <f t="shared" si="114"/>
        <v>0.52941210487387946</v>
      </c>
      <c r="DC43" s="44">
        <f t="shared" si="115"/>
        <v>0.66951319460085268</v>
      </c>
      <c r="DD43" s="44">
        <f t="shared" si="116"/>
        <v>0.80151735513255207</v>
      </c>
      <c r="DE43" s="44">
        <f t="shared" si="117"/>
        <v>0.93082857212504999</v>
      </c>
      <c r="DF43" s="21">
        <f t="shared" si="185"/>
        <v>0</v>
      </c>
      <c r="DG43" s="21">
        <f t="shared" si="186"/>
        <v>0</v>
      </c>
      <c r="DH43" s="21">
        <f t="shared" si="187"/>
        <v>0</v>
      </c>
      <c r="DI43" s="21">
        <f t="shared" si="188"/>
        <v>0</v>
      </c>
      <c r="DJ43" s="21">
        <f t="shared" si="189"/>
        <v>57712.784722293953</v>
      </c>
      <c r="DK43" s="21">
        <f t="shared" si="190"/>
        <v>63861.773502130782</v>
      </c>
      <c r="DL43" s="21">
        <f t="shared" si="191"/>
        <v>30450.803479176542</v>
      </c>
      <c r="DM43" s="21">
        <f t="shared" si="192"/>
        <v>14519.663953523568</v>
      </c>
      <c r="DN43" s="21">
        <f t="shared" si="193"/>
        <v>6923.3200957972076</v>
      </c>
      <c r="DO43" s="21">
        <f t="shared" si="194"/>
        <v>3301.2036045493387</v>
      </c>
      <c r="DP43" s="21">
        <f t="shared" si="195"/>
        <v>1574.0926259040039</v>
      </c>
      <c r="DQ43" s="21">
        <f t="shared" si="196"/>
        <v>1752.2651186259832</v>
      </c>
      <c r="DR43" s="21">
        <f t="shared" si="197"/>
        <v>0</v>
      </c>
      <c r="DS43" s="21">
        <f t="shared" si="198"/>
        <v>5259293.4936306672</v>
      </c>
      <c r="DT43" s="21">
        <f t="shared" si="199"/>
        <v>5380531.4652511338</v>
      </c>
      <c r="DU43" s="21">
        <f t="shared" si="200"/>
        <v>4494539.4149020389</v>
      </c>
      <c r="DV43" s="13">
        <f t="shared" si="201"/>
        <v>0</v>
      </c>
      <c r="DW43" s="13">
        <f t="shared" si="202"/>
        <v>0</v>
      </c>
      <c r="DX43" s="13">
        <f t="shared" si="203"/>
        <v>0</v>
      </c>
      <c r="DY43" s="13">
        <f t="shared" si="204"/>
        <v>0</v>
      </c>
      <c r="DZ43" s="13">
        <f t="shared" si="205"/>
        <v>191553.80685069223</v>
      </c>
      <c r="EA43" s="13">
        <f t="shared" si="206"/>
        <v>308180.43769674777</v>
      </c>
      <c r="EB43" s="13">
        <f t="shared" si="207"/>
        <v>205325.1022747455</v>
      </c>
      <c r="EC43" s="13">
        <f t="shared" si="208"/>
        <v>132823.80660072755</v>
      </c>
      <c r="ED43" s="13">
        <f t="shared" si="209"/>
        <v>76862.81206180423</v>
      </c>
      <c r="EE43" s="13">
        <f t="shared" si="210"/>
        <v>43921.226702858396</v>
      </c>
      <c r="EF43" s="13">
        <f t="shared" si="211"/>
        <v>23907.222886807576</v>
      </c>
      <c r="EG43" s="13">
        <f t="shared" si="212"/>
        <v>29610.598159733076</v>
      </c>
      <c r="EH43" s="13">
        <f t="shared" si="213"/>
        <v>0</v>
      </c>
      <c r="EI43" s="13">
        <f t="shared" si="214"/>
        <v>52592.934936306672</v>
      </c>
      <c r="EJ43" s="13">
        <f t="shared" si="215"/>
        <v>107610.62930502268</v>
      </c>
      <c r="EK43" s="13">
        <f t="shared" si="216"/>
        <v>134836.18244706118</v>
      </c>
      <c r="EL43" s="21">
        <f t="shared" si="120"/>
        <v>1012185.0132341163</v>
      </c>
      <c r="EM43" s="21">
        <f t="shared" si="121"/>
        <v>295039.7466883905</v>
      </c>
      <c r="EN43" s="21">
        <f t="shared" si="217"/>
        <v>15182775198.511744</v>
      </c>
      <c r="EO43" s="21">
        <f t="shared" si="218"/>
        <v>6638394300.4887867</v>
      </c>
      <c r="EP43" s="21">
        <f t="shared" si="219"/>
        <v>12930238768.648485</v>
      </c>
      <c r="EQ43" s="21">
        <f t="shared" si="220"/>
        <v>4539318356.0719585</v>
      </c>
      <c r="ER43" s="21">
        <f t="shared" si="221"/>
        <v>1749917526.072073</v>
      </c>
      <c r="ES43" s="21">
        <f t="shared" si="222"/>
        <v>614329935.42015362</v>
      </c>
    </row>
    <row r="44" spans="1:149" x14ac:dyDescent="0.25">
      <c r="A44" s="19" t="s">
        <v>44</v>
      </c>
      <c r="B44" s="19">
        <v>0</v>
      </c>
      <c r="C44" s="19">
        <v>0.5</v>
      </c>
      <c r="D44" s="19">
        <v>1</v>
      </c>
      <c r="E44" s="19">
        <v>1</v>
      </c>
      <c r="O44" s="3">
        <v>42</v>
      </c>
      <c r="P44" s="21">
        <f t="shared" si="122"/>
        <v>450507.28597265156</v>
      </c>
      <c r="Q44" s="21">
        <f t="shared" si="123"/>
        <v>419815.18888336571</v>
      </c>
      <c r="R44" s="13">
        <f t="shared" si="240"/>
        <v>692036.1173552298</v>
      </c>
      <c r="S44" s="13">
        <f t="shared" si="224"/>
        <v>512672.97699687391</v>
      </c>
      <c r="T44" s="13">
        <f t="shared" si="225"/>
        <v>399270.12881809624</v>
      </c>
      <c r="U44" s="13">
        <f t="shared" si="226"/>
        <v>326894.74790467293</v>
      </c>
      <c r="V44" s="13">
        <f t="shared" si="227"/>
        <v>267638.79980263609</v>
      </c>
      <c r="W44" s="13">
        <f t="shared" si="228"/>
        <v>167223.96544278448</v>
      </c>
      <c r="X44" s="13">
        <f t="shared" si="229"/>
        <v>79736.336736831538</v>
      </c>
      <c r="Y44" s="13">
        <f t="shared" si="230"/>
        <v>38020.170549157854</v>
      </c>
      <c r="Z44" s="13">
        <f t="shared" si="231"/>
        <v>18128.917360322936</v>
      </c>
      <c r="AA44" s="13">
        <f t="shared" si="232"/>
        <v>8644.297710851075</v>
      </c>
      <c r="AB44" s="13">
        <f t="shared" si="233"/>
        <v>4121.8066429114351</v>
      </c>
      <c r="AC44" s="13">
        <f t="shared" si="234"/>
        <v>4588.3531289389221</v>
      </c>
      <c r="AD44" s="13">
        <f t="shared" si="235"/>
        <v>47617254.9044111</v>
      </c>
      <c r="AE44" s="13">
        <f t="shared" si="236"/>
        <v>32978652.212800425</v>
      </c>
      <c r="AF44" s="13">
        <f t="shared" si="237"/>
        <v>18515682.280924991</v>
      </c>
      <c r="AG44" s="13">
        <f t="shared" si="238"/>
        <v>15466777.743318368</v>
      </c>
      <c r="AH44" s="21">
        <f t="shared" si="137"/>
        <v>0</v>
      </c>
      <c r="AI44" s="21">
        <f t="shared" si="138"/>
        <v>1538.0189309906218</v>
      </c>
      <c r="AJ44" s="21">
        <f t="shared" si="139"/>
        <v>19753.364267842659</v>
      </c>
      <c r="AK44" s="21">
        <f t="shared" si="140"/>
        <v>89397.111058562121</v>
      </c>
      <c r="AL44" s="21">
        <f t="shared" si="141"/>
        <v>154751.57129640845</v>
      </c>
      <c r="AM44" s="21">
        <f t="shared" si="142"/>
        <v>135486.61705401179</v>
      </c>
      <c r="AN44" s="21">
        <f t="shared" si="143"/>
        <v>74691.964275901468</v>
      </c>
      <c r="AO44" s="21">
        <f t="shared" si="144"/>
        <v>37429.85737484198</v>
      </c>
      <c r="AP44" s="21">
        <f t="shared" si="145"/>
        <v>18030.63954515908</v>
      </c>
      <c r="AQ44" s="21">
        <f t="shared" si="146"/>
        <v>8618.3648177185223</v>
      </c>
      <c r="AR44" s="21">
        <f t="shared" si="147"/>
        <v>4121.8066429114351</v>
      </c>
      <c r="AS44" s="21">
        <f t="shared" si="148"/>
        <v>4588.3531289389221</v>
      </c>
      <c r="AT44" s="21">
        <f t="shared" si="149"/>
        <v>0</v>
      </c>
      <c r="AU44" s="21">
        <f t="shared" si="150"/>
        <v>16489326.106400212</v>
      </c>
      <c r="AV44" s="21">
        <f t="shared" si="151"/>
        <v>18515682.280924991</v>
      </c>
      <c r="AW44" s="21">
        <f t="shared" si="152"/>
        <v>15466777.743318368</v>
      </c>
      <c r="AX44" s="13">
        <f t="shared" si="100"/>
        <v>0.2</v>
      </c>
      <c r="AY44" s="13">
        <f t="shared" si="124"/>
        <v>0.6</v>
      </c>
      <c r="AZ44" s="13">
        <f t="shared" si="125"/>
        <v>1.2658</v>
      </c>
      <c r="BA44" s="13">
        <f t="shared" si="126"/>
        <v>2.1566490098765376</v>
      </c>
      <c r="BB44" s="13">
        <f t="shared" si="127"/>
        <v>3.3190879461625085</v>
      </c>
      <c r="BC44" s="13">
        <f t="shared" si="128"/>
        <v>4.8257419713955292</v>
      </c>
      <c r="BD44" s="13">
        <f t="shared" si="129"/>
        <v>6.7428468734348259</v>
      </c>
      <c r="BE44" s="13">
        <f t="shared" si="130"/>
        <v>9.1478569544976018</v>
      </c>
      <c r="BF44" s="13">
        <f t="shared" si="131"/>
        <v>11.102016483443295</v>
      </c>
      <c r="BG44" s="13">
        <f t="shared" si="132"/>
        <v>13.304610465662785</v>
      </c>
      <c r="BH44" s="13">
        <f t="shared" si="133"/>
        <v>15.187939682854932</v>
      </c>
      <c r="BI44" s="13">
        <f t="shared" si="134"/>
        <v>16.898470140510888</v>
      </c>
      <c r="BJ44" s="13">
        <f t="shared" si="153"/>
        <v>4.0000000000000001E-3</v>
      </c>
      <c r="BK44" s="13">
        <f t="shared" si="154"/>
        <v>0.01</v>
      </c>
      <c r="BL44" s="13">
        <f t="shared" si="155"/>
        <v>0.02</v>
      </c>
      <c r="BM44" s="13">
        <f t="shared" si="156"/>
        <v>0.03</v>
      </c>
      <c r="BN44" s="30">
        <f t="shared" si="102"/>
        <v>4693568.2387485346</v>
      </c>
      <c r="BO44" s="30">
        <f t="shared" si="103"/>
        <v>1354572.5196636994</v>
      </c>
      <c r="BP44" s="30">
        <f t="shared" si="104"/>
        <v>2687200.1424079472</v>
      </c>
      <c r="BQ44" s="30">
        <f t="shared" si="105"/>
        <v>999210.23898205301</v>
      </c>
      <c r="BR44" s="36">
        <f t="shared" si="157"/>
        <v>0.3</v>
      </c>
      <c r="BS44" s="36">
        <f t="shared" si="158"/>
        <v>0.25</v>
      </c>
      <c r="BT44" s="36">
        <f t="shared" si="159"/>
        <v>0.2</v>
      </c>
      <c r="BU44" s="36">
        <f t="shared" si="160"/>
        <v>0.2</v>
      </c>
      <c r="BV44" s="36">
        <f t="shared" si="161"/>
        <v>0.2</v>
      </c>
      <c r="BW44" s="36">
        <f t="shared" si="162"/>
        <v>0.2</v>
      </c>
      <c r="BX44" s="36">
        <f t="shared" si="163"/>
        <v>0.2</v>
      </c>
      <c r="BY44" s="36">
        <f t="shared" si="164"/>
        <v>0.2</v>
      </c>
      <c r="BZ44" s="36">
        <f t="shared" si="165"/>
        <v>0.2</v>
      </c>
      <c r="CA44" s="36">
        <f t="shared" si="166"/>
        <v>0.2</v>
      </c>
      <c r="CB44" s="36">
        <f t="shared" si="167"/>
        <v>0.2</v>
      </c>
      <c r="CC44" s="36">
        <f t="shared" si="168"/>
        <v>0.2</v>
      </c>
      <c r="CD44" s="35">
        <f t="shared" si="169"/>
        <v>0.36733469902911464</v>
      </c>
      <c r="CE44" s="35">
        <f t="shared" si="170"/>
        <v>0.36733469902911464</v>
      </c>
      <c r="CF44" s="35">
        <f t="shared" si="171"/>
        <v>0.36733469902911464</v>
      </c>
      <c r="CG44" s="35">
        <f t="shared" si="172"/>
        <v>0.36733469902911464</v>
      </c>
      <c r="CH44" s="28">
        <f t="shared" si="173"/>
        <v>0</v>
      </c>
      <c r="CI44" s="28">
        <f t="shared" si="174"/>
        <v>0</v>
      </c>
      <c r="CJ44" s="28">
        <f t="shared" si="175"/>
        <v>15770.608276597821</v>
      </c>
      <c r="CK44" s="28">
        <f t="shared" si="176"/>
        <v>23888.716850957939</v>
      </c>
      <c r="CL44" s="28">
        <f t="shared" si="177"/>
        <v>32524.833709170973</v>
      </c>
      <c r="CM44" s="28">
        <f t="shared" si="178"/>
        <v>31774.248648414403</v>
      </c>
      <c r="CN44" s="28">
        <f t="shared" si="179"/>
        <v>22669.83674234214</v>
      </c>
      <c r="CO44" s="28">
        <f t="shared" si="180"/>
        <v>15649.070955007443</v>
      </c>
      <c r="CP44" s="28">
        <f t="shared" si="181"/>
        <v>9597.670088489589</v>
      </c>
      <c r="CQ44" s="28">
        <f t="shared" si="182"/>
        <v>5787.4724546620455</v>
      </c>
      <c r="CR44" s="28">
        <f t="shared" si="183"/>
        <v>3303.7001748347384</v>
      </c>
      <c r="CS44" s="28">
        <f t="shared" si="184"/>
        <v>4270.970987823177</v>
      </c>
      <c r="CT44" s="44">
        <f t="shared" si="106"/>
        <v>0</v>
      </c>
      <c r="CU44" s="44">
        <f t="shared" si="107"/>
        <v>0</v>
      </c>
      <c r="CV44" s="44">
        <f t="shared" si="108"/>
        <v>3.9498592903209055E-2</v>
      </c>
      <c r="CW44" s="44">
        <f t="shared" si="109"/>
        <v>7.3077701627449282E-2</v>
      </c>
      <c r="CX44" s="44">
        <f t="shared" si="110"/>
        <v>0.12152510672277578</v>
      </c>
      <c r="CY44" s="44">
        <f t="shared" si="111"/>
        <v>0.19001013738838726</v>
      </c>
      <c r="CZ44" s="44">
        <f t="shared" si="112"/>
        <v>0.28430998551091657</v>
      </c>
      <c r="DA44" s="44">
        <f t="shared" si="113"/>
        <v>0.41159917825129455</v>
      </c>
      <c r="DB44" s="44">
        <f t="shared" si="114"/>
        <v>0.52941220359331065</v>
      </c>
      <c r="DC44" s="44">
        <f t="shared" si="115"/>
        <v>0.66951331944492221</v>
      </c>
      <c r="DD44" s="44">
        <f t="shared" si="116"/>
        <v>0.80151750459142646</v>
      </c>
      <c r="DE44" s="44">
        <f t="shared" si="117"/>
        <v>0.93082874569657603</v>
      </c>
      <c r="DF44" s="21">
        <f t="shared" si="185"/>
        <v>0</v>
      </c>
      <c r="DG44" s="21">
        <f t="shared" si="186"/>
        <v>0</v>
      </c>
      <c r="DH44" s="21">
        <f t="shared" si="187"/>
        <v>0</v>
      </c>
      <c r="DI44" s="21">
        <f t="shared" si="188"/>
        <v>0</v>
      </c>
      <c r="DJ44" s="21">
        <f t="shared" si="189"/>
        <v>57712.779734847769</v>
      </c>
      <c r="DK44" s="21">
        <f t="shared" si="190"/>
        <v>63861.765864072433</v>
      </c>
      <c r="DL44" s="21">
        <f t="shared" si="191"/>
        <v>30450.798449033497</v>
      </c>
      <c r="DM44" s="21">
        <f t="shared" si="192"/>
        <v>14519.660643696257</v>
      </c>
      <c r="DN44" s="21">
        <f t="shared" si="193"/>
        <v>6923.3179153988103</v>
      </c>
      <c r="DO44" s="21">
        <f t="shared" si="194"/>
        <v>3301.2021632664168</v>
      </c>
      <c r="DP44" s="21">
        <f t="shared" si="195"/>
        <v>1574.0916684376255</v>
      </c>
      <c r="DQ44" s="21">
        <f t="shared" si="196"/>
        <v>1752.2627958624639</v>
      </c>
      <c r="DR44" s="21">
        <f t="shared" si="197"/>
        <v>0</v>
      </c>
      <c r="DS44" s="21">
        <f t="shared" si="198"/>
        <v>5259293.8927393723</v>
      </c>
      <c r="DT44" s="21">
        <f t="shared" si="199"/>
        <v>5380532.2227414688</v>
      </c>
      <c r="DU44" s="21">
        <f t="shared" si="200"/>
        <v>4494541.1552907489</v>
      </c>
      <c r="DV44" s="13">
        <f t="shared" si="201"/>
        <v>0</v>
      </c>
      <c r="DW44" s="13">
        <f t="shared" si="202"/>
        <v>0</v>
      </c>
      <c r="DX44" s="13">
        <f t="shared" si="203"/>
        <v>0</v>
      </c>
      <c r="DY44" s="13">
        <f t="shared" si="204"/>
        <v>0</v>
      </c>
      <c r="DZ44" s="13">
        <f t="shared" si="205"/>
        <v>191553.79155746513</v>
      </c>
      <c r="EA44" s="13">
        <f t="shared" si="206"/>
        <v>308180.40389768861</v>
      </c>
      <c r="EB44" s="13">
        <f t="shared" si="207"/>
        <v>205325.07111565955</v>
      </c>
      <c r="EC44" s="13">
        <f t="shared" si="208"/>
        <v>132823.77859638195</v>
      </c>
      <c r="ED44" s="13">
        <f t="shared" si="209"/>
        <v>76862.78961687586</v>
      </c>
      <c r="EE44" s="13">
        <f t="shared" si="210"/>
        <v>43921.208850662995</v>
      </c>
      <c r="EF44" s="13">
        <f t="shared" si="211"/>
        <v>23907.209315515138</v>
      </c>
      <c r="EG44" s="13">
        <f t="shared" si="212"/>
        <v>29610.560534209973</v>
      </c>
      <c r="EH44" s="13">
        <f t="shared" si="213"/>
        <v>0</v>
      </c>
      <c r="EI44" s="13">
        <f t="shared" si="214"/>
        <v>52592.938927393727</v>
      </c>
      <c r="EJ44" s="13">
        <f t="shared" si="215"/>
        <v>107610.64445482938</v>
      </c>
      <c r="EK44" s="13">
        <f t="shared" si="216"/>
        <v>134836.23465872247</v>
      </c>
      <c r="EL44" s="21">
        <f t="shared" si="120"/>
        <v>1012184.8134844591</v>
      </c>
      <c r="EM44" s="21">
        <f t="shared" si="121"/>
        <v>295039.81804094557</v>
      </c>
      <c r="EN44" s="21">
        <f t="shared" si="217"/>
        <v>15182772202.266886</v>
      </c>
      <c r="EO44" s="21">
        <f t="shared" si="218"/>
        <v>6638395905.9212751</v>
      </c>
      <c r="EP44" s="21">
        <f t="shared" si="219"/>
        <v>12930235772.403627</v>
      </c>
      <c r="EQ44" s="21">
        <f t="shared" si="220"/>
        <v>4539319961.504446</v>
      </c>
      <c r="ER44" s="21">
        <f t="shared" si="221"/>
        <v>1664572655.5279577</v>
      </c>
      <c r="ES44" s="21">
        <f t="shared" si="222"/>
        <v>584368917.59846985</v>
      </c>
    </row>
    <row r="45" spans="1:149" x14ac:dyDescent="0.25">
      <c r="A45" s="19" t="s">
        <v>8</v>
      </c>
      <c r="B45" s="19">
        <v>0.2</v>
      </c>
      <c r="C45" s="19">
        <v>0.2</v>
      </c>
      <c r="D45" s="19">
        <v>0.2</v>
      </c>
      <c r="E45" s="19">
        <v>0.2</v>
      </c>
      <c r="O45" s="3">
        <v>43</v>
      </c>
      <c r="P45" s="21">
        <f t="shared" si="122"/>
        <v>450507.28597265156</v>
      </c>
      <c r="Q45" s="21">
        <f t="shared" si="123"/>
        <v>419815.18888336571</v>
      </c>
      <c r="R45" s="13">
        <f t="shared" si="240"/>
        <v>692036.10580000072</v>
      </c>
      <c r="S45" s="13">
        <f t="shared" si="224"/>
        <v>512672.96510658582</v>
      </c>
      <c r="T45" s="13">
        <f t="shared" si="225"/>
        <v>399270.11594471376</v>
      </c>
      <c r="U45" s="13">
        <f t="shared" si="226"/>
        <v>326894.73324878275</v>
      </c>
      <c r="V45" s="13">
        <f t="shared" si="227"/>
        <v>267638.78312922991</v>
      </c>
      <c r="W45" s="13">
        <f t="shared" si="228"/>
        <v>167223.95099155791</v>
      </c>
      <c r="X45" s="13">
        <f t="shared" si="229"/>
        <v>79736.327200128144</v>
      </c>
      <c r="Y45" s="13">
        <f t="shared" si="230"/>
        <v>38020.164268637323</v>
      </c>
      <c r="Z45" s="13">
        <f t="shared" si="231"/>
        <v>18128.913227748933</v>
      </c>
      <c r="AA45" s="13">
        <f t="shared" si="232"/>
        <v>8644.2949884559512</v>
      </c>
      <c r="AB45" s="13">
        <f t="shared" si="233"/>
        <v>4121.8048433588374</v>
      </c>
      <c r="AC45" s="13">
        <f t="shared" si="234"/>
        <v>4588.3487686391163</v>
      </c>
      <c r="AD45" s="13">
        <f t="shared" si="235"/>
        <v>47617255.429735884</v>
      </c>
      <c r="AE45" s="13">
        <f t="shared" si="236"/>
        <v>32978653.697542079</v>
      </c>
      <c r="AF45" s="13">
        <f t="shared" si="237"/>
        <v>18515683.987392683</v>
      </c>
      <c r="AG45" s="13">
        <f t="shared" si="238"/>
        <v>15466781.915214432</v>
      </c>
      <c r="AH45" s="21">
        <f t="shared" si="137"/>
        <v>0</v>
      </c>
      <c r="AI45" s="21">
        <f t="shared" si="138"/>
        <v>1538.0188953197576</v>
      </c>
      <c r="AJ45" s="21">
        <f t="shared" si="139"/>
        <v>19753.363630948999</v>
      </c>
      <c r="AK45" s="21">
        <f t="shared" si="140"/>
        <v>89397.107050561826</v>
      </c>
      <c r="AL45" s="21">
        <f t="shared" si="141"/>
        <v>154751.5616556695</v>
      </c>
      <c r="AM45" s="21">
        <f t="shared" si="142"/>
        <v>135486.60534547589</v>
      </c>
      <c r="AN45" s="21">
        <f t="shared" si="143"/>
        <v>74691.955342520043</v>
      </c>
      <c r="AO45" s="21">
        <f t="shared" si="144"/>
        <v>37429.851191834794</v>
      </c>
      <c r="AP45" s="21">
        <f t="shared" si="145"/>
        <v>18030.635434987977</v>
      </c>
      <c r="AQ45" s="21">
        <f t="shared" si="146"/>
        <v>8618.3621034905846</v>
      </c>
      <c r="AR45" s="21">
        <f t="shared" si="147"/>
        <v>4121.8048433588374</v>
      </c>
      <c r="AS45" s="21">
        <f t="shared" si="148"/>
        <v>4588.3487686391163</v>
      </c>
      <c r="AT45" s="21">
        <f t="shared" si="149"/>
        <v>0</v>
      </c>
      <c r="AU45" s="21">
        <f t="shared" si="150"/>
        <v>16489326.848771039</v>
      </c>
      <c r="AV45" s="21">
        <f t="shared" si="151"/>
        <v>18515683.987392683</v>
      </c>
      <c r="AW45" s="21">
        <f t="shared" si="152"/>
        <v>15466781.915214432</v>
      </c>
      <c r="AX45" s="13">
        <f t="shared" si="100"/>
        <v>0.2</v>
      </c>
      <c r="AY45" s="13">
        <f t="shared" si="124"/>
        <v>0.6</v>
      </c>
      <c r="AZ45" s="13">
        <f t="shared" si="125"/>
        <v>1.2658</v>
      </c>
      <c r="BA45" s="13">
        <f t="shared" si="126"/>
        <v>2.1566490150322464</v>
      </c>
      <c r="BB45" s="13">
        <f t="shared" si="127"/>
        <v>3.3190879619018308</v>
      </c>
      <c r="BC45" s="13">
        <f t="shared" si="128"/>
        <v>4.8257420059272631</v>
      </c>
      <c r="BD45" s="13">
        <f t="shared" si="129"/>
        <v>6.7428469387158385</v>
      </c>
      <c r="BE45" s="13">
        <f t="shared" si="130"/>
        <v>9.1478570673494097</v>
      </c>
      <c r="BF45" s="13">
        <f t="shared" si="131"/>
        <v>11.102016666885556</v>
      </c>
      <c r="BG45" s="13">
        <f t="shared" si="132"/>
        <v>13.304610754700954</v>
      </c>
      <c r="BH45" s="13">
        <f t="shared" si="133"/>
        <v>15.187940127468506</v>
      </c>
      <c r="BI45" s="13">
        <f t="shared" si="134"/>
        <v>16.89847080946193</v>
      </c>
      <c r="BJ45" s="13">
        <f t="shared" si="153"/>
        <v>4.0000000000000001E-3</v>
      </c>
      <c r="BK45" s="13">
        <f t="shared" si="154"/>
        <v>0.01</v>
      </c>
      <c r="BL45" s="13">
        <f t="shared" si="155"/>
        <v>0.02</v>
      </c>
      <c r="BM45" s="13">
        <f t="shared" si="156"/>
        <v>0.03</v>
      </c>
      <c r="BN45" s="30">
        <f t="shared" si="102"/>
        <v>4693567.7833445501</v>
      </c>
      <c r="BO45" s="30">
        <f t="shared" si="103"/>
        <v>1354572.6958986509</v>
      </c>
      <c r="BP45" s="30">
        <f t="shared" si="104"/>
        <v>2687199.7722569457</v>
      </c>
      <c r="BQ45" s="30">
        <f t="shared" si="105"/>
        <v>999210.40569199703</v>
      </c>
      <c r="BR45" s="36">
        <f t="shared" si="157"/>
        <v>0.3</v>
      </c>
      <c r="BS45" s="36">
        <f t="shared" si="158"/>
        <v>0.25</v>
      </c>
      <c r="BT45" s="36">
        <f t="shared" si="159"/>
        <v>0.2</v>
      </c>
      <c r="BU45" s="36">
        <f t="shared" si="160"/>
        <v>0.2</v>
      </c>
      <c r="BV45" s="36">
        <f t="shared" si="161"/>
        <v>0.2</v>
      </c>
      <c r="BW45" s="36">
        <f t="shared" si="162"/>
        <v>0.2</v>
      </c>
      <c r="BX45" s="36">
        <f t="shared" si="163"/>
        <v>0.2</v>
      </c>
      <c r="BY45" s="36">
        <f t="shared" si="164"/>
        <v>0.2</v>
      </c>
      <c r="BZ45" s="36">
        <f t="shared" si="165"/>
        <v>0.2</v>
      </c>
      <c r="CA45" s="36">
        <f t="shared" si="166"/>
        <v>0.2</v>
      </c>
      <c r="CB45" s="36">
        <f t="shared" si="167"/>
        <v>0.2</v>
      </c>
      <c r="CC45" s="36">
        <f t="shared" si="168"/>
        <v>0.2</v>
      </c>
      <c r="CD45" s="35">
        <f t="shared" si="169"/>
        <v>0.36733467760087429</v>
      </c>
      <c r="CE45" s="35">
        <f t="shared" si="170"/>
        <v>0.36733467760087429</v>
      </c>
      <c r="CF45" s="35">
        <f t="shared" si="171"/>
        <v>0.36733467760087429</v>
      </c>
      <c r="CG45" s="35">
        <f t="shared" si="172"/>
        <v>0.36733467760087429</v>
      </c>
      <c r="CH45" s="28">
        <f t="shared" si="173"/>
        <v>0</v>
      </c>
      <c r="CI45" s="28">
        <f t="shared" si="174"/>
        <v>0</v>
      </c>
      <c r="CJ45" s="28">
        <f t="shared" si="175"/>
        <v>15770.609887615799</v>
      </c>
      <c r="CK45" s="28">
        <f t="shared" si="176"/>
        <v>23888.718990474703</v>
      </c>
      <c r="CL45" s="28">
        <f t="shared" si="177"/>
        <v>32524.836054124025</v>
      </c>
      <c r="CM45" s="28">
        <f t="shared" si="178"/>
        <v>31774.250172850036</v>
      </c>
      <c r="CN45" s="28">
        <f t="shared" si="179"/>
        <v>22669.837077685472</v>
      </c>
      <c r="CO45" s="28">
        <f t="shared" si="180"/>
        <v>15649.070473114483</v>
      </c>
      <c r="CP45" s="28">
        <f t="shared" si="181"/>
        <v>9597.6691905377083</v>
      </c>
      <c r="CQ45" s="28">
        <f t="shared" si="182"/>
        <v>5787.4714097921697</v>
      </c>
      <c r="CR45" s="28">
        <f t="shared" si="183"/>
        <v>3303.6991764640234</v>
      </c>
      <c r="CS45" s="28">
        <f t="shared" si="184"/>
        <v>4270.9675031294491</v>
      </c>
      <c r="CT45" s="44">
        <f t="shared" si="106"/>
        <v>0</v>
      </c>
      <c r="CU45" s="44">
        <f t="shared" si="107"/>
        <v>0</v>
      </c>
      <c r="CV45" s="44">
        <f t="shared" si="108"/>
        <v>3.9498598211641582E-2</v>
      </c>
      <c r="CW45" s="44">
        <f t="shared" si="109"/>
        <v>7.3077711448762406E-2</v>
      </c>
      <c r="CX45" s="44">
        <f t="shared" si="110"/>
        <v>0.1215251230552014</v>
      </c>
      <c r="CY45" s="44">
        <f t="shared" si="111"/>
        <v>0.19001016292489178</v>
      </c>
      <c r="CZ45" s="44">
        <f t="shared" si="112"/>
        <v>0.28431002372089492</v>
      </c>
      <c r="DA45" s="44">
        <f t="shared" si="113"/>
        <v>0.41159923356836564</v>
      </c>
      <c r="DB45" s="44">
        <f t="shared" si="114"/>
        <v>0.52941227474392027</v>
      </c>
      <c r="DC45" s="44">
        <f t="shared" si="115"/>
        <v>0.66951340942448923</v>
      </c>
      <c r="DD45" s="44">
        <f t="shared" si="116"/>
        <v>0.80151761231176</v>
      </c>
      <c r="DE45" s="44">
        <f t="shared" si="117"/>
        <v>0.9308288707957566</v>
      </c>
      <c r="DF45" s="21">
        <f t="shared" si="185"/>
        <v>0</v>
      </c>
      <c r="DG45" s="21">
        <f t="shared" si="186"/>
        <v>0</v>
      </c>
      <c r="DH45" s="21">
        <f t="shared" si="187"/>
        <v>0</v>
      </c>
      <c r="DI45" s="21">
        <f t="shared" si="188"/>
        <v>0</v>
      </c>
      <c r="DJ45" s="21">
        <f t="shared" si="189"/>
        <v>57712.776139447487</v>
      </c>
      <c r="DK45" s="21">
        <f t="shared" si="190"/>
        <v>63861.760345241171</v>
      </c>
      <c r="DL45" s="21">
        <f t="shared" si="191"/>
        <v>30450.794807027294</v>
      </c>
      <c r="DM45" s="21">
        <f t="shared" si="192"/>
        <v>14519.658245205525</v>
      </c>
      <c r="DN45" s="21">
        <f t="shared" si="193"/>
        <v>6923.3163371951559</v>
      </c>
      <c r="DO45" s="21">
        <f t="shared" si="194"/>
        <v>3301.2011236010821</v>
      </c>
      <c r="DP45" s="21">
        <f t="shared" si="195"/>
        <v>1574.0909811999659</v>
      </c>
      <c r="DQ45" s="21">
        <f t="shared" si="196"/>
        <v>1752.2611306917777</v>
      </c>
      <c r="DR45" s="21">
        <f t="shared" si="197"/>
        <v>0</v>
      </c>
      <c r="DS45" s="21">
        <f t="shared" si="198"/>
        <v>5259294.1804770334</v>
      </c>
      <c r="DT45" s="21">
        <f t="shared" si="199"/>
        <v>5380532.7687912025</v>
      </c>
      <c r="DU45" s="21">
        <f t="shared" si="200"/>
        <v>4494542.4095173879</v>
      </c>
      <c r="DV45" s="13">
        <f t="shared" si="201"/>
        <v>0</v>
      </c>
      <c r="DW45" s="13">
        <f t="shared" si="202"/>
        <v>0</v>
      </c>
      <c r="DX45" s="13">
        <f t="shared" si="203"/>
        <v>0</v>
      </c>
      <c r="DY45" s="13">
        <f t="shared" si="204"/>
        <v>0</v>
      </c>
      <c r="DZ45" s="13">
        <f t="shared" si="205"/>
        <v>191553.78053237536</v>
      </c>
      <c r="EA45" s="13">
        <f t="shared" si="206"/>
        <v>308180.37947049027</v>
      </c>
      <c r="EB45" s="13">
        <f t="shared" si="207"/>
        <v>205325.04854602815</v>
      </c>
      <c r="EC45" s="13">
        <f t="shared" si="208"/>
        <v>132823.75829390148</v>
      </c>
      <c r="ED45" s="13">
        <f t="shared" si="209"/>
        <v>76862.773365661677</v>
      </c>
      <c r="EE45" s="13">
        <f t="shared" si="210"/>
        <v>43921.195972493835</v>
      </c>
      <c r="EF45" s="13">
        <f t="shared" si="211"/>
        <v>23907.199577653235</v>
      </c>
      <c r="EG45" s="13">
        <f t="shared" si="212"/>
        <v>29610.533567549763</v>
      </c>
      <c r="EH45" s="13">
        <f t="shared" si="213"/>
        <v>0</v>
      </c>
      <c r="EI45" s="13">
        <f t="shared" si="214"/>
        <v>52592.941804770337</v>
      </c>
      <c r="EJ45" s="13">
        <f t="shared" si="215"/>
        <v>107610.65537582405</v>
      </c>
      <c r="EK45" s="13">
        <f t="shared" si="216"/>
        <v>134836.27228552164</v>
      </c>
      <c r="EL45" s="21">
        <f t="shared" si="120"/>
        <v>1012184.6693261536</v>
      </c>
      <c r="EM45" s="21">
        <f t="shared" si="121"/>
        <v>295039.86946611607</v>
      </c>
      <c r="EN45" s="21">
        <f t="shared" si="217"/>
        <v>15182770039.892303</v>
      </c>
      <c r="EO45" s="21">
        <f t="shared" si="218"/>
        <v>6638397062.9876118</v>
      </c>
      <c r="EP45" s="21">
        <f t="shared" si="219"/>
        <v>12930233610.029045</v>
      </c>
      <c r="EQ45" s="21">
        <f t="shared" si="220"/>
        <v>4539321118.5707836</v>
      </c>
      <c r="ER45" s="21">
        <f t="shared" si="221"/>
        <v>1583390224.360817</v>
      </c>
      <c r="ES45" s="21">
        <f t="shared" si="222"/>
        <v>555869050.87350869</v>
      </c>
    </row>
    <row r="46" spans="1:149" x14ac:dyDescent="0.25">
      <c r="A46" s="19" t="s">
        <v>10</v>
      </c>
      <c r="B46" s="19">
        <v>4.0000000000000001E-3</v>
      </c>
      <c r="C46" s="19">
        <v>0.01</v>
      </c>
      <c r="D46" s="19">
        <v>0.02</v>
      </c>
      <c r="E46" s="19">
        <v>0.03</v>
      </c>
      <c r="O46" s="3">
        <v>44</v>
      </c>
      <c r="P46" s="21">
        <f t="shared" si="122"/>
        <v>450507.28597265156</v>
      </c>
      <c r="Q46" s="21">
        <f t="shared" si="123"/>
        <v>419815.18888336571</v>
      </c>
      <c r="R46" s="13">
        <f t="shared" si="240"/>
        <v>692036.09747232217</v>
      </c>
      <c r="S46" s="13">
        <f t="shared" si="224"/>
        <v>512672.95654626162</v>
      </c>
      <c r="T46" s="13">
        <f t="shared" si="225"/>
        <v>399270.10668454808</v>
      </c>
      <c r="U46" s="13">
        <f t="shared" si="226"/>
        <v>326894.7227089486</v>
      </c>
      <c r="V46" s="13">
        <f t="shared" si="227"/>
        <v>267638.77113000187</v>
      </c>
      <c r="W46" s="13">
        <f t="shared" si="228"/>
        <v>167223.94057381258</v>
      </c>
      <c r="X46" s="13">
        <f t="shared" si="229"/>
        <v>79736.320309442788</v>
      </c>
      <c r="Y46" s="13">
        <f t="shared" si="230"/>
        <v>38020.159721312419</v>
      </c>
      <c r="Z46" s="13">
        <f t="shared" si="231"/>
        <v>18128.910233048751</v>
      </c>
      <c r="AA46" s="13">
        <f t="shared" si="232"/>
        <v>8644.293017947286</v>
      </c>
      <c r="AB46" s="13">
        <f t="shared" si="233"/>
        <v>4121.8035452566919</v>
      </c>
      <c r="AC46" s="13">
        <f t="shared" si="234"/>
        <v>4588.3456414974771</v>
      </c>
      <c r="AD46" s="13">
        <f t="shared" si="235"/>
        <v>47617255.808332212</v>
      </c>
      <c r="AE46" s="13">
        <f t="shared" si="236"/>
        <v>32978654.768044896</v>
      </c>
      <c r="AF46" s="13">
        <f t="shared" si="237"/>
        <v>18515685.217751317</v>
      </c>
      <c r="AG46" s="13">
        <f t="shared" si="238"/>
        <v>15466784.922119766</v>
      </c>
      <c r="AH46" s="21">
        <f t="shared" si="137"/>
        <v>0</v>
      </c>
      <c r="AI46" s="21">
        <f t="shared" si="138"/>
        <v>1538.018869638785</v>
      </c>
      <c r="AJ46" s="21">
        <f t="shared" si="139"/>
        <v>19753.363172814486</v>
      </c>
      <c r="AK46" s="21">
        <f t="shared" si="140"/>
        <v>89397.10416819455</v>
      </c>
      <c r="AL46" s="21">
        <f t="shared" si="141"/>
        <v>154751.55471758955</v>
      </c>
      <c r="AM46" s="21">
        <f t="shared" si="142"/>
        <v>135486.59690490898</v>
      </c>
      <c r="AN46" s="21">
        <f t="shared" si="143"/>
        <v>74691.948887761202</v>
      </c>
      <c r="AO46" s="21">
        <f t="shared" si="144"/>
        <v>37429.84671511309</v>
      </c>
      <c r="AP46" s="21">
        <f t="shared" si="145"/>
        <v>18030.632456522224</v>
      </c>
      <c r="AQ46" s="21">
        <f t="shared" si="146"/>
        <v>8618.3601388934458</v>
      </c>
      <c r="AR46" s="21">
        <f t="shared" si="147"/>
        <v>4121.8035452566919</v>
      </c>
      <c r="AS46" s="21">
        <f t="shared" si="148"/>
        <v>4588.3456414974771</v>
      </c>
      <c r="AT46" s="21">
        <f t="shared" si="149"/>
        <v>0</v>
      </c>
      <c r="AU46" s="21">
        <f t="shared" si="150"/>
        <v>16489327.384022448</v>
      </c>
      <c r="AV46" s="21">
        <f t="shared" si="151"/>
        <v>18515685.217751317</v>
      </c>
      <c r="AW46" s="21">
        <f t="shared" si="152"/>
        <v>15466784.922119766</v>
      </c>
      <c r="AX46" s="13">
        <f t="shared" si="100"/>
        <v>0.2</v>
      </c>
      <c r="AY46" s="13">
        <f t="shared" si="124"/>
        <v>0.6</v>
      </c>
      <c r="AZ46" s="13">
        <f t="shared" si="125"/>
        <v>1.2658</v>
      </c>
      <c r="BA46" s="13">
        <f t="shared" si="126"/>
        <v>2.1566490187481491</v>
      </c>
      <c r="BB46" s="13">
        <f t="shared" si="127"/>
        <v>3.319087973244967</v>
      </c>
      <c r="BC46" s="13">
        <f t="shared" si="128"/>
        <v>4.8257420308127434</v>
      </c>
      <c r="BD46" s="13">
        <f t="shared" si="129"/>
        <v>6.74284698576046</v>
      </c>
      <c r="BE46" s="13">
        <f t="shared" si="130"/>
        <v>9.1478571486786144</v>
      </c>
      <c r="BF46" s="13">
        <f t="shared" si="131"/>
        <v>11.102016799098338</v>
      </c>
      <c r="BG46" s="13">
        <f t="shared" si="132"/>
        <v>13.304610963045928</v>
      </c>
      <c r="BH46" s="13">
        <f t="shared" si="133"/>
        <v>15.187940447999525</v>
      </c>
      <c r="BI46" s="13">
        <f t="shared" si="134"/>
        <v>16.898471291777625</v>
      </c>
      <c r="BJ46" s="13">
        <f t="shared" si="153"/>
        <v>4.0000000000000001E-3</v>
      </c>
      <c r="BK46" s="13">
        <f t="shared" si="154"/>
        <v>0.01</v>
      </c>
      <c r="BL46" s="13">
        <f t="shared" si="155"/>
        <v>0.02</v>
      </c>
      <c r="BM46" s="13">
        <f t="shared" si="156"/>
        <v>0.03</v>
      </c>
      <c r="BN46" s="30">
        <f t="shared" si="102"/>
        <v>4693567.454893549</v>
      </c>
      <c r="BO46" s="30">
        <f t="shared" si="103"/>
        <v>1354572.822932397</v>
      </c>
      <c r="BP46" s="30">
        <f t="shared" si="104"/>
        <v>2687199.5051757041</v>
      </c>
      <c r="BQ46" s="30">
        <f t="shared" si="105"/>
        <v>999210.52585884382</v>
      </c>
      <c r="BR46" s="36">
        <f t="shared" si="157"/>
        <v>0.3</v>
      </c>
      <c r="BS46" s="36">
        <f t="shared" si="158"/>
        <v>0.25</v>
      </c>
      <c r="BT46" s="36">
        <f t="shared" si="159"/>
        <v>0.2</v>
      </c>
      <c r="BU46" s="36">
        <f t="shared" si="160"/>
        <v>0.2</v>
      </c>
      <c r="BV46" s="36">
        <f t="shared" si="161"/>
        <v>0.2</v>
      </c>
      <c r="BW46" s="36">
        <f t="shared" si="162"/>
        <v>0.2</v>
      </c>
      <c r="BX46" s="36">
        <f t="shared" si="163"/>
        <v>0.2</v>
      </c>
      <c r="BY46" s="36">
        <f t="shared" si="164"/>
        <v>0.2</v>
      </c>
      <c r="BZ46" s="36">
        <f t="shared" si="165"/>
        <v>0.2</v>
      </c>
      <c r="CA46" s="36">
        <f t="shared" si="166"/>
        <v>0.2</v>
      </c>
      <c r="CB46" s="36">
        <f t="shared" si="167"/>
        <v>0.2</v>
      </c>
      <c r="CC46" s="36">
        <f t="shared" si="168"/>
        <v>0.2</v>
      </c>
      <c r="CD46" s="35">
        <f t="shared" si="169"/>
        <v>0.36733466214671517</v>
      </c>
      <c r="CE46" s="35">
        <f t="shared" si="170"/>
        <v>0.36733466214671517</v>
      </c>
      <c r="CF46" s="35">
        <f t="shared" si="171"/>
        <v>0.36733466214671517</v>
      </c>
      <c r="CG46" s="35">
        <f t="shared" si="172"/>
        <v>0.36733466214671517</v>
      </c>
      <c r="CH46" s="28">
        <f t="shared" si="173"/>
        <v>0</v>
      </c>
      <c r="CI46" s="28">
        <f t="shared" si="174"/>
        <v>0</v>
      </c>
      <c r="CJ46" s="28">
        <f t="shared" si="175"/>
        <v>15770.611049690098</v>
      </c>
      <c r="CK46" s="28">
        <f t="shared" si="176"/>
        <v>23888.720534558299</v>
      </c>
      <c r="CL46" s="28">
        <f t="shared" si="177"/>
        <v>32524.837746883575</v>
      </c>
      <c r="CM46" s="28">
        <f t="shared" si="178"/>
        <v>31774.251271623849</v>
      </c>
      <c r="CN46" s="28">
        <f t="shared" si="179"/>
        <v>22669.837314821169</v>
      </c>
      <c r="CO46" s="28">
        <f t="shared" si="180"/>
        <v>15649.070117502153</v>
      </c>
      <c r="CP46" s="28">
        <f t="shared" si="181"/>
        <v>9597.6685349172731</v>
      </c>
      <c r="CQ46" s="28">
        <f t="shared" si="182"/>
        <v>5787.4706511934</v>
      </c>
      <c r="CR46" s="28">
        <f t="shared" si="183"/>
        <v>3303.6984560706296</v>
      </c>
      <c r="CS46" s="28">
        <f t="shared" si="184"/>
        <v>4270.9650060616877</v>
      </c>
      <c r="CT46" s="44">
        <f t="shared" si="106"/>
        <v>0</v>
      </c>
      <c r="CU46" s="44">
        <f t="shared" si="107"/>
        <v>0</v>
      </c>
      <c r="CV46" s="44">
        <f t="shared" si="108"/>
        <v>3.9498602038218728E-2</v>
      </c>
      <c r="CW46" s="44">
        <f t="shared" si="109"/>
        <v>7.3077718528444011E-2</v>
      </c>
      <c r="CX46" s="44">
        <f t="shared" si="110"/>
        <v>0.1215251348284105</v>
      </c>
      <c r="CY46" s="44">
        <f t="shared" si="111"/>
        <v>0.19001018133284994</v>
      </c>
      <c r="CZ46" s="44">
        <f t="shared" si="112"/>
        <v>0.28431005126451125</v>
      </c>
      <c r="DA46" s="44">
        <f t="shared" si="113"/>
        <v>0.41159927344360886</v>
      </c>
      <c r="DB46" s="44">
        <f t="shared" si="114"/>
        <v>0.52941232603275057</v>
      </c>
      <c r="DC46" s="44">
        <f t="shared" si="115"/>
        <v>0.66951347428615049</v>
      </c>
      <c r="DD46" s="44">
        <f t="shared" si="116"/>
        <v>0.80151768996183115</v>
      </c>
      <c r="DE46" s="44">
        <f t="shared" si="117"/>
        <v>0.93082896097334822</v>
      </c>
      <c r="DF46" s="21">
        <f t="shared" si="185"/>
        <v>0</v>
      </c>
      <c r="DG46" s="21">
        <f t="shared" si="186"/>
        <v>0</v>
      </c>
      <c r="DH46" s="21">
        <f t="shared" si="187"/>
        <v>0</v>
      </c>
      <c r="DI46" s="21">
        <f t="shared" si="188"/>
        <v>0</v>
      </c>
      <c r="DJ46" s="21">
        <f t="shared" si="189"/>
        <v>57712.773551972103</v>
      </c>
      <c r="DK46" s="21">
        <f t="shared" si="190"/>
        <v>63861.756366770671</v>
      </c>
      <c r="DL46" s="21">
        <f t="shared" si="191"/>
        <v>30450.792175518505</v>
      </c>
      <c r="DM46" s="21">
        <f t="shared" si="192"/>
        <v>14519.656508611146</v>
      </c>
      <c r="DN46" s="21">
        <f t="shared" si="193"/>
        <v>6923.3151935382566</v>
      </c>
      <c r="DO46" s="21">
        <f t="shared" si="194"/>
        <v>3301.2003710763906</v>
      </c>
      <c r="DP46" s="21">
        <f t="shared" si="195"/>
        <v>1574.0904854630357</v>
      </c>
      <c r="DQ46" s="21">
        <f t="shared" si="196"/>
        <v>1752.2599364563303</v>
      </c>
      <c r="DR46" s="21">
        <f t="shared" si="197"/>
        <v>0</v>
      </c>
      <c r="DS46" s="21">
        <f t="shared" si="198"/>
        <v>5259294.3879469996</v>
      </c>
      <c r="DT46" s="21">
        <f t="shared" si="199"/>
        <v>5380533.1625020318</v>
      </c>
      <c r="DU46" s="21">
        <f t="shared" si="200"/>
        <v>4494543.3135235924</v>
      </c>
      <c r="DV46" s="13">
        <f t="shared" si="201"/>
        <v>0</v>
      </c>
      <c r="DW46" s="13">
        <f t="shared" si="202"/>
        <v>0</v>
      </c>
      <c r="DX46" s="13">
        <f t="shared" si="203"/>
        <v>0</v>
      </c>
      <c r="DY46" s="13">
        <f t="shared" si="204"/>
        <v>0</v>
      </c>
      <c r="DZ46" s="13">
        <f t="shared" si="205"/>
        <v>191553.77259896082</v>
      </c>
      <c r="EA46" s="13">
        <f t="shared" si="206"/>
        <v>308180.36186064855</v>
      </c>
      <c r="EB46" s="13">
        <f t="shared" si="207"/>
        <v>205325.03223471314</v>
      </c>
      <c r="EC46" s="13">
        <f t="shared" si="208"/>
        <v>132823.74358865645</v>
      </c>
      <c r="ED46" s="13">
        <f t="shared" si="209"/>
        <v>76862.761584114487</v>
      </c>
      <c r="EE46" s="13">
        <f t="shared" si="210"/>
        <v>43921.18664823423</v>
      </c>
      <c r="EF46" s="13">
        <f t="shared" si="211"/>
        <v>23907.192552975248</v>
      </c>
      <c r="EG46" s="13">
        <f t="shared" si="212"/>
        <v>29610.514231939382</v>
      </c>
      <c r="EH46" s="13">
        <f t="shared" si="213"/>
        <v>0</v>
      </c>
      <c r="EI46" s="13">
        <f t="shared" si="214"/>
        <v>52592.943879469996</v>
      </c>
      <c r="EJ46" s="13">
        <f t="shared" si="215"/>
        <v>107610.66325004064</v>
      </c>
      <c r="EK46" s="13">
        <f t="shared" si="216"/>
        <v>134836.29940570777</v>
      </c>
      <c r="EL46" s="21">
        <f t="shared" si="120"/>
        <v>1012184.5653002424</v>
      </c>
      <c r="EM46" s="21">
        <f t="shared" si="121"/>
        <v>295039.90653521841</v>
      </c>
      <c r="EN46" s="21">
        <f t="shared" si="217"/>
        <v>15182768479.503635</v>
      </c>
      <c r="EO46" s="21">
        <f t="shared" si="218"/>
        <v>6638397897.0424147</v>
      </c>
      <c r="EP46" s="21">
        <f t="shared" si="219"/>
        <v>12930232049.640377</v>
      </c>
      <c r="EQ46" s="21">
        <f t="shared" si="220"/>
        <v>4539321952.6255856</v>
      </c>
      <c r="ER46" s="21">
        <f t="shared" si="221"/>
        <v>1506167190.1182368</v>
      </c>
      <c r="ES46" s="21">
        <f t="shared" si="222"/>
        <v>528759094.514337</v>
      </c>
    </row>
    <row r="47" spans="1:149" x14ac:dyDescent="0.25">
      <c r="A47" s="19" t="s">
        <v>12</v>
      </c>
      <c r="B47" s="19">
        <v>0</v>
      </c>
      <c r="C47" s="19">
        <v>0</v>
      </c>
      <c r="D47" s="19">
        <v>0</v>
      </c>
      <c r="E47" s="19">
        <v>0</v>
      </c>
      <c r="O47" s="3">
        <v>45</v>
      </c>
      <c r="P47" s="21">
        <f t="shared" si="122"/>
        <v>450507.28597265156</v>
      </c>
      <c r="Q47" s="21">
        <f t="shared" si="123"/>
        <v>419815.18888336571</v>
      </c>
      <c r="R47" s="13">
        <f t="shared" si="240"/>
        <v>692036.09146572975</v>
      </c>
      <c r="S47" s="13">
        <f t="shared" si="224"/>
        <v>512672.95037696557</v>
      </c>
      <c r="T47" s="13">
        <f t="shared" si="225"/>
        <v>399270.10001776088</v>
      </c>
      <c r="U47" s="13">
        <f t="shared" si="226"/>
        <v>326894.71512736619</v>
      </c>
      <c r="V47" s="13">
        <f t="shared" si="227"/>
        <v>267638.76250071556</v>
      </c>
      <c r="W47" s="13">
        <f t="shared" si="228"/>
        <v>167223.93307655014</v>
      </c>
      <c r="X47" s="13">
        <f t="shared" si="229"/>
        <v>79736.315342016329</v>
      </c>
      <c r="Y47" s="13">
        <f t="shared" si="230"/>
        <v>38020.15643567127</v>
      </c>
      <c r="Z47" s="13">
        <f t="shared" si="231"/>
        <v>18128.908064777082</v>
      </c>
      <c r="AA47" s="13">
        <f t="shared" si="232"/>
        <v>8644.2915900036714</v>
      </c>
      <c r="AB47" s="13">
        <f t="shared" si="233"/>
        <v>4121.8026056717272</v>
      </c>
      <c r="AC47" s="13">
        <f t="shared" si="234"/>
        <v>4588.3433943962536</v>
      </c>
      <c r="AD47" s="13">
        <f t="shared" si="235"/>
        <v>47617256.081229657</v>
      </c>
      <c r="AE47" s="13">
        <f t="shared" si="236"/>
        <v>32978655.539909702</v>
      </c>
      <c r="AF47" s="13">
        <f t="shared" si="237"/>
        <v>18515686.104923643</v>
      </c>
      <c r="AG47" s="13">
        <f t="shared" si="238"/>
        <v>15466787.089694949</v>
      </c>
      <c r="AH47" s="21">
        <f t="shared" si="137"/>
        <v>0</v>
      </c>
      <c r="AI47" s="21">
        <f t="shared" si="138"/>
        <v>1538.0188511308968</v>
      </c>
      <c r="AJ47" s="21">
        <f t="shared" si="139"/>
        <v>19753.362842983963</v>
      </c>
      <c r="AK47" s="21">
        <f t="shared" si="140"/>
        <v>89397.10209483128</v>
      </c>
      <c r="AL47" s="21">
        <f t="shared" si="141"/>
        <v>154751.54972804536</v>
      </c>
      <c r="AM47" s="21">
        <f t="shared" si="142"/>
        <v>135486.59083054803</v>
      </c>
      <c r="AN47" s="21">
        <f t="shared" si="143"/>
        <v>74691.944234589828</v>
      </c>
      <c r="AO47" s="21">
        <f t="shared" si="144"/>
        <v>37429.843480485848</v>
      </c>
      <c r="AP47" s="21">
        <f t="shared" si="145"/>
        <v>18030.630300004868</v>
      </c>
      <c r="AQ47" s="21">
        <f t="shared" si="146"/>
        <v>8618.3587152336622</v>
      </c>
      <c r="AR47" s="21">
        <f t="shared" si="147"/>
        <v>4121.8026056717272</v>
      </c>
      <c r="AS47" s="21">
        <f t="shared" si="148"/>
        <v>4588.3433943962536</v>
      </c>
      <c r="AT47" s="21">
        <f t="shared" si="149"/>
        <v>0</v>
      </c>
      <c r="AU47" s="21">
        <f t="shared" si="150"/>
        <v>16489327.769954851</v>
      </c>
      <c r="AV47" s="21">
        <f t="shared" si="151"/>
        <v>18515686.104923643</v>
      </c>
      <c r="AW47" s="21">
        <f t="shared" si="152"/>
        <v>15466787.089694949</v>
      </c>
      <c r="AX47" s="13">
        <f t="shared" si="100"/>
        <v>0.2</v>
      </c>
      <c r="AY47" s="13">
        <f t="shared" si="124"/>
        <v>0.6</v>
      </c>
      <c r="AZ47" s="13">
        <f t="shared" si="125"/>
        <v>1.2658</v>
      </c>
      <c r="BA47" s="13">
        <f t="shared" si="126"/>
        <v>2.1566490214267531</v>
      </c>
      <c r="BB47" s="13">
        <f t="shared" si="127"/>
        <v>3.319087981421069</v>
      </c>
      <c r="BC47" s="13">
        <f t="shared" si="128"/>
        <v>4.8257420487488769</v>
      </c>
      <c r="BD47" s="13">
        <f t="shared" si="129"/>
        <v>6.7428470196658399</v>
      </c>
      <c r="BE47" s="13">
        <f t="shared" si="130"/>
        <v>9.1478572072915547</v>
      </c>
      <c r="BF47" s="13">
        <f t="shared" si="131"/>
        <v>11.102016894383878</v>
      </c>
      <c r="BG47" s="13">
        <f t="shared" si="132"/>
        <v>13.304611113209802</v>
      </c>
      <c r="BH47" s="13">
        <f t="shared" si="133"/>
        <v>15.187940679046079</v>
      </c>
      <c r="BI47" s="13">
        <f t="shared" si="134"/>
        <v>16.898471639486164</v>
      </c>
      <c r="BJ47" s="13">
        <f t="shared" si="153"/>
        <v>4.0000000000000001E-3</v>
      </c>
      <c r="BK47" s="13">
        <f t="shared" si="154"/>
        <v>0.01</v>
      </c>
      <c r="BL47" s="13">
        <f t="shared" si="155"/>
        <v>0.02</v>
      </c>
      <c r="BM47" s="13">
        <f t="shared" si="156"/>
        <v>0.03</v>
      </c>
      <c r="BN47" s="30">
        <f t="shared" si="102"/>
        <v>4693567.2180836713</v>
      </c>
      <c r="BO47" s="30">
        <f t="shared" si="103"/>
        <v>1354572.914513337</v>
      </c>
      <c r="BP47" s="30">
        <f t="shared" si="104"/>
        <v>2687199.3125312701</v>
      </c>
      <c r="BQ47" s="30">
        <f t="shared" si="105"/>
        <v>999210.61248886981</v>
      </c>
      <c r="BR47" s="36">
        <f t="shared" si="157"/>
        <v>0.3</v>
      </c>
      <c r="BS47" s="36">
        <f t="shared" si="158"/>
        <v>0.25</v>
      </c>
      <c r="BT47" s="36">
        <f t="shared" si="159"/>
        <v>0.2</v>
      </c>
      <c r="BU47" s="36">
        <f t="shared" si="160"/>
        <v>0.2</v>
      </c>
      <c r="BV47" s="36">
        <f t="shared" si="161"/>
        <v>0.2</v>
      </c>
      <c r="BW47" s="36">
        <f t="shared" si="162"/>
        <v>0.2</v>
      </c>
      <c r="BX47" s="36">
        <f t="shared" si="163"/>
        <v>0.2</v>
      </c>
      <c r="BY47" s="36">
        <f t="shared" si="164"/>
        <v>0.2</v>
      </c>
      <c r="BZ47" s="36">
        <f t="shared" si="165"/>
        <v>0.2</v>
      </c>
      <c r="CA47" s="36">
        <f t="shared" si="166"/>
        <v>0.2</v>
      </c>
      <c r="CB47" s="36">
        <f t="shared" si="167"/>
        <v>0.2</v>
      </c>
      <c r="CC47" s="36">
        <f t="shared" si="168"/>
        <v>0.2</v>
      </c>
      <c r="CD47" s="35">
        <f t="shared" si="169"/>
        <v>0.36733465100307039</v>
      </c>
      <c r="CE47" s="35">
        <f t="shared" si="170"/>
        <v>0.36733465100307039</v>
      </c>
      <c r="CF47" s="35">
        <f t="shared" si="171"/>
        <v>0.36733465100307039</v>
      </c>
      <c r="CG47" s="35">
        <f t="shared" si="172"/>
        <v>0.36733465100307039</v>
      </c>
      <c r="CH47" s="28">
        <f t="shared" si="173"/>
        <v>0</v>
      </c>
      <c r="CI47" s="28">
        <f t="shared" si="174"/>
        <v>0</v>
      </c>
      <c r="CJ47" s="28">
        <f t="shared" si="175"/>
        <v>15770.611887825629</v>
      </c>
      <c r="CK47" s="28">
        <f t="shared" si="176"/>
        <v>23888.721648969695</v>
      </c>
      <c r="CL47" s="28">
        <f t="shared" si="177"/>
        <v>32524.838969835495</v>
      </c>
      <c r="CM47" s="28">
        <f t="shared" si="178"/>
        <v>31774.252066271627</v>
      </c>
      <c r="CN47" s="28">
        <f t="shared" si="179"/>
        <v>22669.837485857708</v>
      </c>
      <c r="CO47" s="28">
        <f t="shared" si="180"/>
        <v>15649.06985811011</v>
      </c>
      <c r="CP47" s="28">
        <f t="shared" si="181"/>
        <v>9597.6680573359117</v>
      </c>
      <c r="CQ47" s="28">
        <f t="shared" si="182"/>
        <v>5787.470099379253</v>
      </c>
      <c r="CR47" s="28">
        <f t="shared" si="183"/>
        <v>3303.6979337163025</v>
      </c>
      <c r="CS47" s="28">
        <f t="shared" si="184"/>
        <v>4270.9632126909873</v>
      </c>
      <c r="CT47" s="44">
        <f t="shared" si="106"/>
        <v>0</v>
      </c>
      <c r="CU47" s="44">
        <f t="shared" si="107"/>
        <v>0</v>
      </c>
      <c r="CV47" s="44">
        <f t="shared" si="108"/>
        <v>3.9498604796913417E-2</v>
      </c>
      <c r="CW47" s="44">
        <f t="shared" si="109"/>
        <v>7.3077723632399699E-2</v>
      </c>
      <c r="CX47" s="44">
        <f t="shared" si="110"/>
        <v>0.12152514331607155</v>
      </c>
      <c r="CY47" s="44">
        <f t="shared" si="111"/>
        <v>0.19001019460370139</v>
      </c>
      <c r="CZ47" s="44">
        <f t="shared" si="112"/>
        <v>0.28431007112153378</v>
      </c>
      <c r="DA47" s="44">
        <f t="shared" si="113"/>
        <v>0.41159930219087265</v>
      </c>
      <c r="DB47" s="44">
        <f t="shared" si="114"/>
        <v>0.5294123630084131</v>
      </c>
      <c r="DC47" s="44">
        <f t="shared" si="115"/>
        <v>0.66951352104687567</v>
      </c>
      <c r="DD47" s="44">
        <f t="shared" si="116"/>
        <v>0.80151774594210612</v>
      </c>
      <c r="DE47" s="44">
        <f t="shared" si="117"/>
        <v>0.93082902598509021</v>
      </c>
      <c r="DF47" s="21">
        <f t="shared" si="185"/>
        <v>0</v>
      </c>
      <c r="DG47" s="21">
        <f t="shared" si="186"/>
        <v>0</v>
      </c>
      <c r="DH47" s="21">
        <f t="shared" si="187"/>
        <v>0</v>
      </c>
      <c r="DI47" s="21">
        <f t="shared" si="188"/>
        <v>0</v>
      </c>
      <c r="DJ47" s="21">
        <f t="shared" si="189"/>
        <v>57712.771691180242</v>
      </c>
      <c r="DK47" s="21">
        <f t="shared" si="190"/>
        <v>63861.75350361396</v>
      </c>
      <c r="DL47" s="21">
        <f t="shared" si="191"/>
        <v>30450.790278490022</v>
      </c>
      <c r="DM47" s="21">
        <f t="shared" si="192"/>
        <v>14519.655253845747</v>
      </c>
      <c r="DN47" s="21">
        <f t="shared" si="193"/>
        <v>6923.3143654891355</v>
      </c>
      <c r="DO47" s="21">
        <f t="shared" si="194"/>
        <v>3301.1998257538316</v>
      </c>
      <c r="DP47" s="21">
        <f t="shared" si="195"/>
        <v>1574.0901266415303</v>
      </c>
      <c r="DQ47" s="21">
        <f t="shared" si="196"/>
        <v>1752.2590783027049</v>
      </c>
      <c r="DR47" s="21">
        <f t="shared" si="197"/>
        <v>0</v>
      </c>
      <c r="DS47" s="21">
        <f t="shared" si="198"/>
        <v>5259294.5375408391</v>
      </c>
      <c r="DT47" s="21">
        <f t="shared" si="199"/>
        <v>5380533.4463946819</v>
      </c>
      <c r="DU47" s="21">
        <f t="shared" si="200"/>
        <v>4494543.9651971413</v>
      </c>
      <c r="DV47" s="13">
        <f t="shared" si="201"/>
        <v>0</v>
      </c>
      <c r="DW47" s="13">
        <f t="shared" si="202"/>
        <v>0</v>
      </c>
      <c r="DX47" s="13">
        <f t="shared" si="203"/>
        <v>0</v>
      </c>
      <c r="DY47" s="13">
        <f t="shared" si="204"/>
        <v>0</v>
      </c>
      <c r="DZ47" s="13">
        <f t="shared" si="205"/>
        <v>191553.76689469445</v>
      </c>
      <c r="EA47" s="13">
        <f t="shared" si="206"/>
        <v>308180.34918922582</v>
      </c>
      <c r="EB47" s="13">
        <f t="shared" si="207"/>
        <v>205325.02047578598</v>
      </c>
      <c r="EC47" s="13">
        <f t="shared" si="208"/>
        <v>132823.73296128149</v>
      </c>
      <c r="ED47" s="13">
        <f t="shared" si="209"/>
        <v>76862.753050790983</v>
      </c>
      <c r="EE47" s="13">
        <f t="shared" si="210"/>
        <v>43921.179888650688</v>
      </c>
      <c r="EF47" s="13">
        <f t="shared" si="211"/>
        <v>23907.187466903692</v>
      </c>
      <c r="EG47" s="13">
        <f t="shared" si="212"/>
        <v>29610.500339730424</v>
      </c>
      <c r="EH47" s="13">
        <f t="shared" si="213"/>
        <v>0</v>
      </c>
      <c r="EI47" s="13">
        <f t="shared" si="214"/>
        <v>52592.945375408395</v>
      </c>
      <c r="EJ47" s="13">
        <f t="shared" si="215"/>
        <v>107610.66892789364</v>
      </c>
      <c r="EK47" s="13">
        <f t="shared" si="216"/>
        <v>134836.31895591423</v>
      </c>
      <c r="EL47" s="21">
        <f t="shared" si="120"/>
        <v>1012184.4902670634</v>
      </c>
      <c r="EM47" s="21">
        <f t="shared" si="121"/>
        <v>295039.93325921625</v>
      </c>
      <c r="EN47" s="21">
        <f t="shared" si="217"/>
        <v>15182767354.005951</v>
      </c>
      <c r="EO47" s="21">
        <f t="shared" si="218"/>
        <v>6638398498.332366</v>
      </c>
      <c r="EP47" s="21">
        <f t="shared" si="219"/>
        <v>12930230924.142693</v>
      </c>
      <c r="EQ47" s="21">
        <f t="shared" si="220"/>
        <v>4539322553.9155369</v>
      </c>
      <c r="ER47" s="21">
        <f t="shared" si="221"/>
        <v>1432710424.7493293</v>
      </c>
      <c r="ES47" s="21">
        <f t="shared" si="222"/>
        <v>502971275.79921705</v>
      </c>
    </row>
    <row r="48" spans="1:149" ht="21" x14ac:dyDescent="0.35">
      <c r="A48" s="90" t="s">
        <v>86</v>
      </c>
      <c r="B48" s="90">
        <v>4</v>
      </c>
      <c r="O48" s="3">
        <v>46</v>
      </c>
      <c r="P48" s="21">
        <f t="shared" si="122"/>
        <v>450507.28597265156</v>
      </c>
      <c r="Q48" s="21">
        <f t="shared" si="123"/>
        <v>419815.18888336571</v>
      </c>
      <c r="R48" s="13">
        <f t="shared" si="240"/>
        <v>692036.08713153517</v>
      </c>
      <c r="S48" s="13">
        <f t="shared" si="224"/>
        <v>512672.94592717249</v>
      </c>
      <c r="T48" s="13">
        <f t="shared" si="225"/>
        <v>399270.09521310829</v>
      </c>
      <c r="U48" s="13">
        <f t="shared" si="226"/>
        <v>326894.70966906246</v>
      </c>
      <c r="V48" s="13">
        <f t="shared" si="227"/>
        <v>267638.75629344088</v>
      </c>
      <c r="W48" s="13">
        <f t="shared" si="228"/>
        <v>167223.92768486793</v>
      </c>
      <c r="X48" s="13">
        <f t="shared" si="229"/>
        <v>79736.311767144929</v>
      </c>
      <c r="Y48" s="13">
        <f t="shared" si="230"/>
        <v>38020.154067085285</v>
      </c>
      <c r="Z48" s="13">
        <f t="shared" si="231"/>
        <v>18128.90649810596</v>
      </c>
      <c r="AA48" s="13">
        <f t="shared" si="232"/>
        <v>8644.2905561206462</v>
      </c>
      <c r="AB48" s="13">
        <f t="shared" si="233"/>
        <v>4121.801924794564</v>
      </c>
      <c r="AC48" s="13">
        <f t="shared" si="234"/>
        <v>4588.3417757171537</v>
      </c>
      <c r="AD48" s="13">
        <f t="shared" si="235"/>
        <v>47617256.277965337</v>
      </c>
      <c r="AE48" s="13">
        <f t="shared" si="236"/>
        <v>32978656.096414849</v>
      </c>
      <c r="AF48" s="13">
        <f t="shared" si="237"/>
        <v>18515686.744615171</v>
      </c>
      <c r="AG48" s="13">
        <f t="shared" si="238"/>
        <v>15466788.652389634</v>
      </c>
      <c r="AH48" s="21">
        <f t="shared" si="137"/>
        <v>0</v>
      </c>
      <c r="AI48" s="21">
        <f t="shared" si="138"/>
        <v>1538.0188377815175</v>
      </c>
      <c r="AJ48" s="21">
        <f t="shared" si="139"/>
        <v>19753.362605280097</v>
      </c>
      <c r="AK48" s="21">
        <f t="shared" si="140"/>
        <v>89397.100602128849</v>
      </c>
      <c r="AL48" s="21">
        <f t="shared" si="141"/>
        <v>154751.5461389338</v>
      </c>
      <c r="AM48" s="21">
        <f t="shared" si="142"/>
        <v>135486.58646215036</v>
      </c>
      <c r="AN48" s="21">
        <f t="shared" si="143"/>
        <v>74691.940885876073</v>
      </c>
      <c r="AO48" s="21">
        <f t="shared" si="144"/>
        <v>37429.841148675274</v>
      </c>
      <c r="AP48" s="21">
        <f t="shared" si="145"/>
        <v>18030.628741826753</v>
      </c>
      <c r="AQ48" s="21">
        <f t="shared" si="146"/>
        <v>8618.357684452285</v>
      </c>
      <c r="AR48" s="21">
        <f t="shared" si="147"/>
        <v>4121.801924794564</v>
      </c>
      <c r="AS48" s="21">
        <f t="shared" si="148"/>
        <v>4588.3417757171537</v>
      </c>
      <c r="AT48" s="21">
        <f t="shared" si="149"/>
        <v>0</v>
      </c>
      <c r="AU48" s="21">
        <f t="shared" si="150"/>
        <v>16489328.048207425</v>
      </c>
      <c r="AV48" s="21">
        <f t="shared" si="151"/>
        <v>18515686.744615171</v>
      </c>
      <c r="AW48" s="21">
        <f t="shared" si="152"/>
        <v>15466788.652389634</v>
      </c>
      <c r="AX48" s="13">
        <f t="shared" si="100"/>
        <v>0.2</v>
      </c>
      <c r="AY48" s="13">
        <f t="shared" si="124"/>
        <v>0.6</v>
      </c>
      <c r="AZ48" s="13">
        <f t="shared" si="125"/>
        <v>1.2658</v>
      </c>
      <c r="BA48" s="13">
        <f t="shared" si="126"/>
        <v>2.1566490233578395</v>
      </c>
      <c r="BB48" s="13">
        <f t="shared" si="127"/>
        <v>3.3190879873151649</v>
      </c>
      <c r="BC48" s="13">
        <f t="shared" si="128"/>
        <v>4.8257420616780697</v>
      </c>
      <c r="BD48" s="13">
        <f t="shared" si="129"/>
        <v>6.7428470441046908</v>
      </c>
      <c r="BE48" s="13">
        <f t="shared" si="130"/>
        <v>9.1478572495368837</v>
      </c>
      <c r="BF48" s="13">
        <f t="shared" si="131"/>
        <v>11.102016963058361</v>
      </c>
      <c r="BG48" s="13">
        <f t="shared" si="132"/>
        <v>13.304611221436822</v>
      </c>
      <c r="BH48" s="13">
        <f t="shared" si="133"/>
        <v>15.187940845576207</v>
      </c>
      <c r="BI48" s="13">
        <f t="shared" si="134"/>
        <v>16.898471890125816</v>
      </c>
      <c r="BJ48" s="13">
        <f t="shared" si="153"/>
        <v>4.0000000000000001E-3</v>
      </c>
      <c r="BK48" s="13">
        <f t="shared" si="154"/>
        <v>0.01</v>
      </c>
      <c r="BL48" s="13">
        <f t="shared" si="155"/>
        <v>0.02</v>
      </c>
      <c r="BM48" s="13">
        <f t="shared" si="156"/>
        <v>0.03</v>
      </c>
      <c r="BN48" s="30">
        <f t="shared" si="102"/>
        <v>4693567.0473996028</v>
      </c>
      <c r="BO48" s="30">
        <f t="shared" si="103"/>
        <v>1354572.9805400022</v>
      </c>
      <c r="BP48" s="30">
        <f t="shared" si="104"/>
        <v>2687199.1736419932</v>
      </c>
      <c r="BQ48" s="30">
        <f t="shared" si="105"/>
        <v>999210.67494606669</v>
      </c>
      <c r="BR48" s="36">
        <f t="shared" si="157"/>
        <v>0.3</v>
      </c>
      <c r="BS48" s="36">
        <f t="shared" si="158"/>
        <v>0.25</v>
      </c>
      <c r="BT48" s="36">
        <f t="shared" si="159"/>
        <v>0.2</v>
      </c>
      <c r="BU48" s="36">
        <f t="shared" si="160"/>
        <v>0.2</v>
      </c>
      <c r="BV48" s="36">
        <f t="shared" si="161"/>
        <v>0.2</v>
      </c>
      <c r="BW48" s="36">
        <f t="shared" si="162"/>
        <v>0.2</v>
      </c>
      <c r="BX48" s="36">
        <f t="shared" si="163"/>
        <v>0.2</v>
      </c>
      <c r="BY48" s="36">
        <f t="shared" si="164"/>
        <v>0.2</v>
      </c>
      <c r="BZ48" s="36">
        <f t="shared" si="165"/>
        <v>0.2</v>
      </c>
      <c r="CA48" s="36">
        <f t="shared" si="166"/>
        <v>0.2</v>
      </c>
      <c r="CB48" s="36">
        <f t="shared" si="167"/>
        <v>0.2</v>
      </c>
      <c r="CC48" s="36">
        <f t="shared" si="168"/>
        <v>0.2</v>
      </c>
      <c r="CD48" s="35">
        <f t="shared" si="169"/>
        <v>0.36733464296955665</v>
      </c>
      <c r="CE48" s="35">
        <f t="shared" si="170"/>
        <v>0.36733464296955665</v>
      </c>
      <c r="CF48" s="35">
        <f t="shared" si="171"/>
        <v>0.36733464296955665</v>
      </c>
      <c r="CG48" s="35">
        <f t="shared" si="172"/>
        <v>0.36733464296955665</v>
      </c>
      <c r="CH48" s="28">
        <f t="shared" si="173"/>
        <v>0</v>
      </c>
      <c r="CI48" s="28">
        <f t="shared" si="174"/>
        <v>0</v>
      </c>
      <c r="CJ48" s="28">
        <f t="shared" si="175"/>
        <v>15770.612492161314</v>
      </c>
      <c r="CK48" s="28">
        <f t="shared" si="176"/>
        <v>23888.722452981008</v>
      </c>
      <c r="CL48" s="28">
        <f t="shared" si="177"/>
        <v>32524.83985324996</v>
      </c>
      <c r="CM48" s="28">
        <f t="shared" si="178"/>
        <v>31774.252641756408</v>
      </c>
      <c r="CN48" s="28">
        <f t="shared" si="179"/>
        <v>22669.837611001814</v>
      </c>
      <c r="CO48" s="28">
        <f t="shared" si="180"/>
        <v>15649.069671194371</v>
      </c>
      <c r="CP48" s="28">
        <f t="shared" si="181"/>
        <v>9597.6677112014058</v>
      </c>
      <c r="CQ48" s="28">
        <f t="shared" si="182"/>
        <v>5787.4696986025947</v>
      </c>
      <c r="CR48" s="28">
        <f t="shared" si="183"/>
        <v>3303.697554335421</v>
      </c>
      <c r="CS48" s="28">
        <f t="shared" si="184"/>
        <v>4270.9619210373339</v>
      </c>
      <c r="CT48" s="44">
        <f t="shared" si="106"/>
        <v>0</v>
      </c>
      <c r="CU48" s="44">
        <f t="shared" si="107"/>
        <v>0</v>
      </c>
      <c r="CV48" s="44">
        <f t="shared" si="108"/>
        <v>3.9498606785824598E-2</v>
      </c>
      <c r="CW48" s="44">
        <f t="shared" si="109"/>
        <v>7.3077727312152507E-2</v>
      </c>
      <c r="CX48" s="44">
        <f t="shared" si="110"/>
        <v>0.12152514943534379</v>
      </c>
      <c r="CY48" s="44">
        <f t="shared" si="111"/>
        <v>0.19001020417146711</v>
      </c>
      <c r="CZ48" s="44">
        <f t="shared" si="112"/>
        <v>0.28431008543767183</v>
      </c>
      <c r="DA48" s="44">
        <f t="shared" si="113"/>
        <v>0.41159932291652773</v>
      </c>
      <c r="DB48" s="44">
        <f t="shared" si="114"/>
        <v>0.52941238966642223</v>
      </c>
      <c r="DC48" s="44">
        <f t="shared" si="115"/>
        <v>0.669513554759533</v>
      </c>
      <c r="DD48" s="44">
        <f t="shared" si="116"/>
        <v>0.80151778630169901</v>
      </c>
      <c r="DE48" s="44">
        <f t="shared" si="117"/>
        <v>0.93082907285601812</v>
      </c>
      <c r="DF48" s="21">
        <f t="shared" si="185"/>
        <v>0</v>
      </c>
      <c r="DG48" s="21">
        <f t="shared" si="186"/>
        <v>0</v>
      </c>
      <c r="DH48" s="21">
        <f t="shared" si="187"/>
        <v>0</v>
      </c>
      <c r="DI48" s="21">
        <f t="shared" si="188"/>
        <v>0</v>
      </c>
      <c r="DJ48" s="21">
        <f t="shared" si="189"/>
        <v>57712.770352663269</v>
      </c>
      <c r="DK48" s="21">
        <f t="shared" si="190"/>
        <v>63861.751444564921</v>
      </c>
      <c r="DL48" s="21">
        <f t="shared" si="191"/>
        <v>30450.788913269436</v>
      </c>
      <c r="DM48" s="21">
        <f t="shared" si="192"/>
        <v>14519.654349297865</v>
      </c>
      <c r="DN48" s="21">
        <f t="shared" si="193"/>
        <v>6923.3137671874256</v>
      </c>
      <c r="DO48" s="21">
        <f t="shared" si="194"/>
        <v>3301.1994309204979</v>
      </c>
      <c r="DP48" s="21">
        <f t="shared" si="195"/>
        <v>1574.0898666188843</v>
      </c>
      <c r="DQ48" s="21">
        <f t="shared" si="196"/>
        <v>1752.2584601394803</v>
      </c>
      <c r="DR48" s="21">
        <f t="shared" si="197"/>
        <v>0</v>
      </c>
      <c r="DS48" s="21">
        <f t="shared" si="198"/>
        <v>5259294.6453939965</v>
      </c>
      <c r="DT48" s="21">
        <f t="shared" si="199"/>
        <v>5380533.6510905195</v>
      </c>
      <c r="DU48" s="21">
        <f t="shared" si="200"/>
        <v>4494544.4350148002</v>
      </c>
      <c r="DV48" s="13">
        <f t="shared" si="201"/>
        <v>0</v>
      </c>
      <c r="DW48" s="13">
        <f t="shared" si="202"/>
        <v>0</v>
      </c>
      <c r="DX48" s="13">
        <f t="shared" si="203"/>
        <v>0</v>
      </c>
      <c r="DY48" s="13">
        <f t="shared" si="204"/>
        <v>0</v>
      </c>
      <c r="DZ48" s="13">
        <f t="shared" si="205"/>
        <v>191553.76279220346</v>
      </c>
      <c r="EA48" s="13">
        <f t="shared" si="206"/>
        <v>308180.34007846715</v>
      </c>
      <c r="EB48" s="13">
        <f t="shared" si="207"/>
        <v>205325.01201449471</v>
      </c>
      <c r="EC48" s="13">
        <f t="shared" si="208"/>
        <v>132823.72529999423</v>
      </c>
      <c r="ED48" s="13">
        <f t="shared" si="209"/>
        <v>76862.746883890286</v>
      </c>
      <c r="EE48" s="13">
        <f t="shared" si="210"/>
        <v>43921.174992825705</v>
      </c>
      <c r="EF48" s="13">
        <f t="shared" si="211"/>
        <v>23907.18377982856</v>
      </c>
      <c r="EG48" s="13">
        <f t="shared" si="212"/>
        <v>29610.490332902154</v>
      </c>
      <c r="EH48" s="13">
        <f t="shared" si="213"/>
        <v>0</v>
      </c>
      <c r="EI48" s="13">
        <f t="shared" si="214"/>
        <v>52592.946453939963</v>
      </c>
      <c r="EJ48" s="13">
        <f t="shared" si="215"/>
        <v>107610.67302181039</v>
      </c>
      <c r="EK48" s="13">
        <f t="shared" si="216"/>
        <v>134836.33305044399</v>
      </c>
      <c r="EL48" s="21">
        <f t="shared" si="120"/>
        <v>1012184.4361746063</v>
      </c>
      <c r="EM48" s="21">
        <f t="shared" si="121"/>
        <v>295039.95252619439</v>
      </c>
      <c r="EN48" s="21">
        <f t="shared" si="217"/>
        <v>15182766542.619095</v>
      </c>
      <c r="EO48" s="21">
        <f t="shared" si="218"/>
        <v>6638398931.8393736</v>
      </c>
      <c r="EP48" s="21">
        <f t="shared" si="219"/>
        <v>12930230112.755836</v>
      </c>
      <c r="EQ48" s="21">
        <f t="shared" si="220"/>
        <v>4539322987.4225445</v>
      </c>
      <c r="ER48" s="21">
        <f t="shared" si="221"/>
        <v>1362836227.2909329</v>
      </c>
      <c r="ES48" s="21">
        <f t="shared" si="222"/>
        <v>478441122.91018164</v>
      </c>
    </row>
    <row r="49" spans="1:149" ht="21" x14ac:dyDescent="0.35">
      <c r="A49" s="90" t="s">
        <v>85</v>
      </c>
      <c r="B49" s="90">
        <v>0.7</v>
      </c>
      <c r="O49" s="3">
        <v>47</v>
      </c>
      <c r="P49" s="21">
        <f t="shared" si="122"/>
        <v>450507.28597265156</v>
      </c>
      <c r="Q49" s="21">
        <f t="shared" si="123"/>
        <v>419815.18888336571</v>
      </c>
      <c r="R49" s="13">
        <f t="shared" si="240"/>
        <v>692036.08400421054</v>
      </c>
      <c r="S49" s="13">
        <f t="shared" si="224"/>
        <v>512672.94271632214</v>
      </c>
      <c r="T49" s="13">
        <f t="shared" si="225"/>
        <v>399270.09174760594</v>
      </c>
      <c r="U49" s="13">
        <f t="shared" si="226"/>
        <v>326894.70573534566</v>
      </c>
      <c r="V49" s="13">
        <f t="shared" si="227"/>
        <v>267638.75182455976</v>
      </c>
      <c r="W49" s="13">
        <f t="shared" si="228"/>
        <v>167223.92380648784</v>
      </c>
      <c r="X49" s="13">
        <f t="shared" si="229"/>
        <v>79736.309196263799</v>
      </c>
      <c r="Y49" s="13">
        <f t="shared" si="230"/>
        <v>38020.152362502362</v>
      </c>
      <c r="Z49" s="13">
        <f t="shared" si="231"/>
        <v>18128.905368708347</v>
      </c>
      <c r="AA49" s="13">
        <f t="shared" si="232"/>
        <v>8644.2898090949384</v>
      </c>
      <c r="AB49" s="13">
        <f t="shared" si="233"/>
        <v>4121.8014318147743</v>
      </c>
      <c r="AC49" s="13">
        <f t="shared" si="234"/>
        <v>4588.3406073543028</v>
      </c>
      <c r="AD49" s="13">
        <f t="shared" si="235"/>
        <v>47617256.419804811</v>
      </c>
      <c r="AE49" s="13">
        <f t="shared" si="236"/>
        <v>32978656.497604106</v>
      </c>
      <c r="AF49" s="13">
        <f t="shared" si="237"/>
        <v>18515687.205807984</v>
      </c>
      <c r="AG49" s="13">
        <f t="shared" si="238"/>
        <v>15466789.779036738</v>
      </c>
      <c r="AH49" s="21">
        <f t="shared" si="137"/>
        <v>0</v>
      </c>
      <c r="AI49" s="21">
        <f t="shared" si="138"/>
        <v>1538.0188281489663</v>
      </c>
      <c r="AJ49" s="21">
        <f t="shared" si="139"/>
        <v>19753.362433828926</v>
      </c>
      <c r="AK49" s="21">
        <f t="shared" si="140"/>
        <v>89397.09952636082</v>
      </c>
      <c r="AL49" s="21">
        <f t="shared" si="141"/>
        <v>154751.5435549797</v>
      </c>
      <c r="AM49" s="21">
        <f t="shared" si="142"/>
        <v>135486.58331984599</v>
      </c>
      <c r="AN49" s="21">
        <f t="shared" si="143"/>
        <v>74691.938477637013</v>
      </c>
      <c r="AO49" s="21">
        <f t="shared" si="144"/>
        <v>37429.839470558247</v>
      </c>
      <c r="AP49" s="21">
        <f t="shared" si="145"/>
        <v>18030.627618551665</v>
      </c>
      <c r="AQ49" s="21">
        <f t="shared" si="146"/>
        <v>8618.3569396676539</v>
      </c>
      <c r="AR49" s="21">
        <f t="shared" si="147"/>
        <v>4121.8014318147743</v>
      </c>
      <c r="AS49" s="21">
        <f t="shared" si="148"/>
        <v>4588.3406073543028</v>
      </c>
      <c r="AT49" s="21">
        <f t="shared" si="149"/>
        <v>0</v>
      </c>
      <c r="AU49" s="21">
        <f t="shared" si="150"/>
        <v>16489328.248802053</v>
      </c>
      <c r="AV49" s="21">
        <f t="shared" si="151"/>
        <v>18515687.205807984</v>
      </c>
      <c r="AW49" s="21">
        <f t="shared" si="152"/>
        <v>15466789.779036738</v>
      </c>
      <c r="AX49" s="13">
        <f t="shared" si="100"/>
        <v>0.2</v>
      </c>
      <c r="AY49" s="13">
        <f t="shared" si="124"/>
        <v>0.6</v>
      </c>
      <c r="AZ49" s="13">
        <f t="shared" si="125"/>
        <v>1.2658</v>
      </c>
      <c r="BA49" s="13">
        <f t="shared" si="126"/>
        <v>2.1566490247500774</v>
      </c>
      <c r="BB49" s="13">
        <f t="shared" si="127"/>
        <v>3.3190879915644955</v>
      </c>
      <c r="BC49" s="13">
        <f t="shared" si="128"/>
        <v>4.8257420709989578</v>
      </c>
      <c r="BD49" s="13">
        <f t="shared" si="129"/>
        <v>6.7428470617220881</v>
      </c>
      <c r="BE49" s="13">
        <f t="shared" si="130"/>
        <v>9.1478572799885143</v>
      </c>
      <c r="BF49" s="13">
        <f t="shared" si="131"/>
        <v>11.102017012557669</v>
      </c>
      <c r="BG49" s="13">
        <f t="shared" si="132"/>
        <v>13.304611299441609</v>
      </c>
      <c r="BH49" s="13">
        <f t="shared" si="133"/>
        <v>15.187940965602658</v>
      </c>
      <c r="BI49" s="13">
        <f t="shared" si="134"/>
        <v>16.898472070781803</v>
      </c>
      <c r="BJ49" s="13">
        <f t="shared" si="153"/>
        <v>4.0000000000000001E-3</v>
      </c>
      <c r="BK49" s="13">
        <f t="shared" si="154"/>
        <v>0.01</v>
      </c>
      <c r="BL49" s="13">
        <f t="shared" si="155"/>
        <v>0.02</v>
      </c>
      <c r="BM49" s="13">
        <f t="shared" si="156"/>
        <v>0.03</v>
      </c>
      <c r="BN49" s="30">
        <f t="shared" si="102"/>
        <v>4693566.9244008623</v>
      </c>
      <c r="BO49" s="30">
        <f t="shared" si="103"/>
        <v>1354573.0281425221</v>
      </c>
      <c r="BP49" s="30">
        <f t="shared" si="104"/>
        <v>2687199.0735476669</v>
      </c>
      <c r="BQ49" s="30">
        <f t="shared" si="105"/>
        <v>999210.71997528232</v>
      </c>
      <c r="BR49" s="36">
        <f t="shared" si="157"/>
        <v>0.3</v>
      </c>
      <c r="BS49" s="36">
        <f t="shared" si="158"/>
        <v>0.25</v>
      </c>
      <c r="BT49" s="36">
        <f t="shared" si="159"/>
        <v>0.2</v>
      </c>
      <c r="BU49" s="36">
        <f t="shared" si="160"/>
        <v>0.2</v>
      </c>
      <c r="BV49" s="36">
        <f t="shared" si="161"/>
        <v>0.2</v>
      </c>
      <c r="BW49" s="36">
        <f t="shared" si="162"/>
        <v>0.2</v>
      </c>
      <c r="BX49" s="36">
        <f t="shared" si="163"/>
        <v>0.2</v>
      </c>
      <c r="BY49" s="36">
        <f t="shared" si="164"/>
        <v>0.2</v>
      </c>
      <c r="BZ49" s="36">
        <f t="shared" si="165"/>
        <v>0.2</v>
      </c>
      <c r="CA49" s="36">
        <f t="shared" si="166"/>
        <v>0.2</v>
      </c>
      <c r="CB49" s="36">
        <f t="shared" si="167"/>
        <v>0.2</v>
      </c>
      <c r="CC49" s="36">
        <f t="shared" si="168"/>
        <v>0.2</v>
      </c>
      <c r="CD49" s="35">
        <f t="shared" si="169"/>
        <v>0.36733463717934273</v>
      </c>
      <c r="CE49" s="35">
        <f t="shared" si="170"/>
        <v>0.36733463717934273</v>
      </c>
      <c r="CF49" s="35">
        <f t="shared" si="171"/>
        <v>0.36733463717934273</v>
      </c>
      <c r="CG49" s="35">
        <f t="shared" si="172"/>
        <v>0.36733463717934273</v>
      </c>
      <c r="CH49" s="28">
        <f t="shared" si="173"/>
        <v>0</v>
      </c>
      <c r="CI49" s="28">
        <f t="shared" si="174"/>
        <v>0</v>
      </c>
      <c r="CJ49" s="28">
        <f t="shared" si="175"/>
        <v>15770.612927789889</v>
      </c>
      <c r="CK49" s="28">
        <f t="shared" si="176"/>
        <v>23888.723032731894</v>
      </c>
      <c r="CL49" s="28">
        <f t="shared" si="177"/>
        <v>32524.840490898267</v>
      </c>
      <c r="CM49" s="28">
        <f t="shared" si="178"/>
        <v>31774.253058306262</v>
      </c>
      <c r="CN49" s="28">
        <f t="shared" si="179"/>
        <v>22669.837703043882</v>
      </c>
      <c r="CO49" s="28">
        <f t="shared" si="180"/>
        <v>15649.069537687961</v>
      </c>
      <c r="CP49" s="28">
        <f t="shared" si="181"/>
        <v>9597.6674617026765</v>
      </c>
      <c r="CQ49" s="28">
        <f t="shared" si="182"/>
        <v>5787.469408557783</v>
      </c>
      <c r="CR49" s="28">
        <f t="shared" si="183"/>
        <v>3303.6972791354892</v>
      </c>
      <c r="CS49" s="28">
        <f t="shared" si="184"/>
        <v>4270.9609885373566</v>
      </c>
      <c r="CT49" s="44">
        <f t="shared" si="106"/>
        <v>0</v>
      </c>
      <c r="CU49" s="44">
        <f t="shared" si="107"/>
        <v>0</v>
      </c>
      <c r="CV49" s="44">
        <f t="shared" si="108"/>
        <v>3.9498608219718852E-2</v>
      </c>
      <c r="CW49" s="44">
        <f t="shared" si="109"/>
        <v>7.3077729965049451E-2</v>
      </c>
      <c r="CX49" s="44">
        <f t="shared" si="110"/>
        <v>0.12152515384699847</v>
      </c>
      <c r="CY49" s="44">
        <f t="shared" si="111"/>
        <v>0.19001021106929381</v>
      </c>
      <c r="CZ49" s="44">
        <f t="shared" si="112"/>
        <v>0.2843100957588105</v>
      </c>
      <c r="DA49" s="44">
        <f t="shared" si="113"/>
        <v>0.41159933785857111</v>
      </c>
      <c r="DB49" s="44">
        <f t="shared" si="114"/>
        <v>0.52941240888536301</v>
      </c>
      <c r="DC49" s="44">
        <f t="shared" si="115"/>
        <v>0.66951357906448239</v>
      </c>
      <c r="DD49" s="44">
        <f t="shared" si="116"/>
        <v>0.8015178153987188</v>
      </c>
      <c r="DE49" s="44">
        <f t="shared" si="117"/>
        <v>0.93082910664734819</v>
      </c>
      <c r="DF49" s="21">
        <f t="shared" si="185"/>
        <v>0</v>
      </c>
      <c r="DG49" s="21">
        <f t="shared" si="186"/>
        <v>0</v>
      </c>
      <c r="DH49" s="21">
        <f t="shared" si="187"/>
        <v>0</v>
      </c>
      <c r="DI49" s="21">
        <f t="shared" si="188"/>
        <v>0</v>
      </c>
      <c r="DJ49" s="21">
        <f t="shared" si="189"/>
        <v>57712.769389007954</v>
      </c>
      <c r="DK49" s="21">
        <f t="shared" si="190"/>
        <v>63861.749963436298</v>
      </c>
      <c r="DL49" s="21">
        <f t="shared" si="191"/>
        <v>30450.78793146633</v>
      </c>
      <c r="DM49" s="21">
        <f t="shared" si="192"/>
        <v>14519.653698328519</v>
      </c>
      <c r="DN49" s="21">
        <f t="shared" si="193"/>
        <v>6923.3133358776795</v>
      </c>
      <c r="DO49" s="21">
        <f t="shared" si="194"/>
        <v>3301.1991456361447</v>
      </c>
      <c r="DP49" s="21">
        <f t="shared" si="195"/>
        <v>1574.0896783530468</v>
      </c>
      <c r="DQ49" s="21">
        <f t="shared" si="196"/>
        <v>1752.2580139491592</v>
      </c>
      <c r="DR49" s="21">
        <f t="shared" si="197"/>
        <v>0</v>
      </c>
      <c r="DS49" s="21">
        <f t="shared" si="198"/>
        <v>5259294.7231433606</v>
      </c>
      <c r="DT49" s="21">
        <f t="shared" si="199"/>
        <v>5380533.7986644572</v>
      </c>
      <c r="DU49" s="21">
        <f t="shared" si="200"/>
        <v>4494544.7737333188</v>
      </c>
      <c r="DV49" s="13">
        <f t="shared" si="201"/>
        <v>0</v>
      </c>
      <c r="DW49" s="13">
        <f t="shared" si="202"/>
        <v>0</v>
      </c>
      <c r="DX49" s="13">
        <f t="shared" si="203"/>
        <v>0</v>
      </c>
      <c r="DY49" s="13">
        <f t="shared" si="204"/>
        <v>0</v>
      </c>
      <c r="DZ49" s="13">
        <f t="shared" si="205"/>
        <v>191553.75983898732</v>
      </c>
      <c r="EA49" s="13">
        <f t="shared" si="206"/>
        <v>308180.3335261707</v>
      </c>
      <c r="EB49" s="13">
        <f t="shared" si="207"/>
        <v>205325.00593081018</v>
      </c>
      <c r="EC49" s="13">
        <f t="shared" si="208"/>
        <v>132823.71978716669</v>
      </c>
      <c r="ED49" s="13">
        <f t="shared" si="209"/>
        <v>76862.742438181376</v>
      </c>
      <c r="EE49" s="13">
        <f t="shared" si="210"/>
        <v>43921.17145473764</v>
      </c>
      <c r="EF49" s="13">
        <f t="shared" si="211"/>
        <v>23907.181109390553</v>
      </c>
      <c r="EG49" s="13">
        <f t="shared" si="212"/>
        <v>29610.483109523459</v>
      </c>
      <c r="EH49" s="13">
        <f t="shared" si="213"/>
        <v>0</v>
      </c>
      <c r="EI49" s="13">
        <f t="shared" si="214"/>
        <v>52592.947231433609</v>
      </c>
      <c r="EJ49" s="13">
        <f t="shared" si="215"/>
        <v>107610.67597328915</v>
      </c>
      <c r="EK49" s="13">
        <f t="shared" si="216"/>
        <v>134836.34321199957</v>
      </c>
      <c r="EL49" s="21">
        <f t="shared" si="120"/>
        <v>1012184.397194968</v>
      </c>
      <c r="EM49" s="21">
        <f t="shared" si="121"/>
        <v>295039.96641672234</v>
      </c>
      <c r="EN49" s="21">
        <f t="shared" si="217"/>
        <v>15182765957.924519</v>
      </c>
      <c r="EO49" s="21">
        <f t="shared" si="218"/>
        <v>6638399244.3762522</v>
      </c>
      <c r="EP49" s="21">
        <f t="shared" si="219"/>
        <v>12930229528.06126</v>
      </c>
      <c r="EQ49" s="21">
        <f t="shared" si="220"/>
        <v>4539323299.9594231</v>
      </c>
      <c r="ER49" s="21">
        <f t="shared" si="221"/>
        <v>1296369861.5538759</v>
      </c>
      <c r="ES49" s="21">
        <f t="shared" si="222"/>
        <v>455107305.33791339</v>
      </c>
    </row>
    <row r="50" spans="1:149" ht="15.75" thickBot="1" x14ac:dyDescent="0.3">
      <c r="O50" s="3">
        <v>48</v>
      </c>
      <c r="P50" s="21">
        <f t="shared" si="122"/>
        <v>450507.28597265156</v>
      </c>
      <c r="Q50" s="21">
        <f t="shared" si="123"/>
        <v>419815.18888336571</v>
      </c>
      <c r="R50" s="13">
        <f t="shared" si="240"/>
        <v>692036.0817484858</v>
      </c>
      <c r="S50" s="13">
        <f t="shared" si="224"/>
        <v>512672.94039954309</v>
      </c>
      <c r="T50" s="13">
        <f t="shared" si="225"/>
        <v>399270.08924699319</v>
      </c>
      <c r="U50" s="13">
        <f t="shared" si="226"/>
        <v>326894.70289803232</v>
      </c>
      <c r="V50" s="13">
        <f t="shared" si="227"/>
        <v>267638.74860390479</v>
      </c>
      <c r="W50" s="13">
        <f t="shared" si="228"/>
        <v>167223.921014277</v>
      </c>
      <c r="X50" s="13">
        <f t="shared" si="229"/>
        <v>79736.307346960777</v>
      </c>
      <c r="Y50" s="13">
        <f t="shared" si="230"/>
        <v>38020.151136645662</v>
      </c>
      <c r="Z50" s="13">
        <f t="shared" si="231"/>
        <v>18128.904555923044</v>
      </c>
      <c r="AA50" s="13">
        <f t="shared" si="232"/>
        <v>8644.289270571544</v>
      </c>
      <c r="AB50" s="13">
        <f t="shared" si="233"/>
        <v>4121.8010756153144</v>
      </c>
      <c r="AC50" s="13">
        <f t="shared" si="234"/>
        <v>4588.3397631430817</v>
      </c>
      <c r="AD50" s="13">
        <f t="shared" si="235"/>
        <v>47617256.522065558</v>
      </c>
      <c r="AE50" s="13">
        <f t="shared" si="236"/>
        <v>32978656.786792461</v>
      </c>
      <c r="AF50" s="13">
        <f t="shared" si="237"/>
        <v>18515687.538263302</v>
      </c>
      <c r="AG50" s="13">
        <f t="shared" si="238"/>
        <v>15466790.591282502</v>
      </c>
      <c r="AH50" s="21">
        <f t="shared" si="137"/>
        <v>0</v>
      </c>
      <c r="AI50" s="21">
        <f t="shared" si="138"/>
        <v>1538.0188211986292</v>
      </c>
      <c r="AJ50" s="21">
        <f t="shared" si="139"/>
        <v>19753.362310114404</v>
      </c>
      <c r="AK50" s="21">
        <f t="shared" si="140"/>
        <v>89397.09875043029</v>
      </c>
      <c r="AL50" s="21">
        <f t="shared" si="141"/>
        <v>154751.5416927631</v>
      </c>
      <c r="AM50" s="21">
        <f t="shared" si="142"/>
        <v>135486.58105756735</v>
      </c>
      <c r="AN50" s="21">
        <f t="shared" si="143"/>
        <v>74691.936745326733</v>
      </c>
      <c r="AO50" s="21">
        <f t="shared" si="144"/>
        <v>37429.838263734586</v>
      </c>
      <c r="AP50" s="21">
        <f t="shared" si="145"/>
        <v>18030.626810172511</v>
      </c>
      <c r="AQ50" s="21">
        <f t="shared" si="146"/>
        <v>8618.3564027598295</v>
      </c>
      <c r="AR50" s="21">
        <f t="shared" si="147"/>
        <v>4121.8010756153144</v>
      </c>
      <c r="AS50" s="21">
        <f t="shared" si="148"/>
        <v>4588.3397631430817</v>
      </c>
      <c r="AT50" s="21">
        <f t="shared" si="149"/>
        <v>0</v>
      </c>
      <c r="AU50" s="21">
        <f t="shared" si="150"/>
        <v>16489328.39339623</v>
      </c>
      <c r="AV50" s="21">
        <f t="shared" si="151"/>
        <v>18515687.538263302</v>
      </c>
      <c r="AW50" s="21">
        <f t="shared" si="152"/>
        <v>15466790.591282502</v>
      </c>
      <c r="AX50" s="13">
        <f t="shared" si="100"/>
        <v>0.2</v>
      </c>
      <c r="AY50" s="13">
        <f t="shared" si="124"/>
        <v>0.6</v>
      </c>
      <c r="AZ50" s="13">
        <f t="shared" si="125"/>
        <v>1.2658</v>
      </c>
      <c r="BA50" s="13">
        <f t="shared" si="126"/>
        <v>2.1566490257538034</v>
      </c>
      <c r="BB50" s="13">
        <f t="shared" si="127"/>
        <v>3.3190879946280587</v>
      </c>
      <c r="BC50" s="13">
        <f t="shared" si="128"/>
        <v>4.8257420777188145</v>
      </c>
      <c r="BD50" s="13">
        <f t="shared" si="129"/>
        <v>6.7428470744229116</v>
      </c>
      <c r="BE50" s="13">
        <f t="shared" si="130"/>
        <v>9.1478573019407872</v>
      </c>
      <c r="BF50" s="13">
        <f t="shared" si="131"/>
        <v>11.102017048239015</v>
      </c>
      <c r="BG50" s="13">
        <f t="shared" si="132"/>
        <v>13.304611355667546</v>
      </c>
      <c r="BH50" s="13">
        <f t="shared" si="133"/>
        <v>15.187941052114176</v>
      </c>
      <c r="BI50" s="13">
        <f t="shared" si="134"/>
        <v>16.898472200992209</v>
      </c>
      <c r="BJ50" s="13">
        <f t="shared" si="153"/>
        <v>4.0000000000000001E-3</v>
      </c>
      <c r="BK50" s="13">
        <f t="shared" si="154"/>
        <v>0.01</v>
      </c>
      <c r="BL50" s="13">
        <f t="shared" si="155"/>
        <v>0.02</v>
      </c>
      <c r="BM50" s="13">
        <f t="shared" si="156"/>
        <v>0.03</v>
      </c>
      <c r="BN50" s="30">
        <f t="shared" si="102"/>
        <v>4693566.8357694494</v>
      </c>
      <c r="BO50" s="30">
        <f t="shared" si="103"/>
        <v>1354573.062459928</v>
      </c>
      <c r="BP50" s="30">
        <f t="shared" si="104"/>
        <v>2687199.0014276518</v>
      </c>
      <c r="BQ50" s="30">
        <f t="shared" si="105"/>
        <v>999210.75243770331</v>
      </c>
      <c r="BR50" s="36">
        <f t="shared" si="157"/>
        <v>0.3</v>
      </c>
      <c r="BS50" s="36">
        <f t="shared" si="158"/>
        <v>0.25</v>
      </c>
      <c r="BT50" s="36">
        <f t="shared" si="159"/>
        <v>0.2</v>
      </c>
      <c r="BU50" s="36">
        <f t="shared" si="160"/>
        <v>0.2</v>
      </c>
      <c r="BV50" s="36">
        <f t="shared" si="161"/>
        <v>0.2</v>
      </c>
      <c r="BW50" s="36">
        <f t="shared" si="162"/>
        <v>0.2</v>
      </c>
      <c r="BX50" s="36">
        <f t="shared" si="163"/>
        <v>0.2</v>
      </c>
      <c r="BY50" s="36">
        <f t="shared" si="164"/>
        <v>0.2</v>
      </c>
      <c r="BZ50" s="36">
        <f t="shared" si="165"/>
        <v>0.2</v>
      </c>
      <c r="CA50" s="36">
        <f t="shared" si="166"/>
        <v>0.2</v>
      </c>
      <c r="CB50" s="36">
        <f t="shared" si="167"/>
        <v>0.2</v>
      </c>
      <c r="CC50" s="36">
        <f t="shared" si="168"/>
        <v>0.2</v>
      </c>
      <c r="CD50" s="35">
        <f t="shared" si="169"/>
        <v>0.36733463300648117</v>
      </c>
      <c r="CE50" s="35">
        <f t="shared" si="170"/>
        <v>0.36733463300648117</v>
      </c>
      <c r="CF50" s="35">
        <f t="shared" si="171"/>
        <v>0.36733463300648117</v>
      </c>
      <c r="CG50" s="35">
        <f t="shared" si="172"/>
        <v>0.36733463300648117</v>
      </c>
      <c r="CH50" s="28">
        <f t="shared" si="173"/>
        <v>0</v>
      </c>
      <c r="CI50" s="28">
        <f t="shared" si="174"/>
        <v>0</v>
      </c>
      <c r="CJ50" s="28">
        <f t="shared" si="175"/>
        <v>15770.61324174131</v>
      </c>
      <c r="CK50" s="28">
        <f t="shared" si="176"/>
        <v>23888.723450563237</v>
      </c>
      <c r="CL50" s="28">
        <f t="shared" si="177"/>
        <v>32524.840950693477</v>
      </c>
      <c r="CM50" s="28">
        <f t="shared" si="178"/>
        <v>31774.253359300365</v>
      </c>
      <c r="CN50" s="28">
        <f t="shared" si="179"/>
        <v>22669.837770545488</v>
      </c>
      <c r="CO50" s="28">
        <f t="shared" si="180"/>
        <v>15649.069442667462</v>
      </c>
      <c r="CP50" s="28">
        <f t="shared" si="181"/>
        <v>9597.6672825781679</v>
      </c>
      <c r="CQ50" s="28">
        <f t="shared" si="182"/>
        <v>5787.4691994690338</v>
      </c>
      <c r="CR50" s="28">
        <f t="shared" si="183"/>
        <v>3303.6970800941181</v>
      </c>
      <c r="CS50" s="28">
        <f t="shared" si="184"/>
        <v>4270.960314493419</v>
      </c>
      <c r="CT50" s="44">
        <f t="shared" si="106"/>
        <v>0</v>
      </c>
      <c r="CU50" s="44">
        <f t="shared" si="107"/>
        <v>0</v>
      </c>
      <c r="CV50" s="44">
        <f t="shared" si="108"/>
        <v>3.949860925341047E-2</v>
      </c>
      <c r="CW50" s="44">
        <f t="shared" si="109"/>
        <v>7.3077731877517774E-2</v>
      </c>
      <c r="CX50" s="44">
        <f t="shared" si="110"/>
        <v>0.12152515702735185</v>
      </c>
      <c r="CY50" s="44">
        <f t="shared" si="111"/>
        <v>0.19001021604192375</v>
      </c>
      <c r="CZ50" s="44">
        <f t="shared" si="112"/>
        <v>0.28431010319929956</v>
      </c>
      <c r="DA50" s="44">
        <f t="shared" si="113"/>
        <v>0.41159934863026176</v>
      </c>
      <c r="DB50" s="44">
        <f t="shared" si="114"/>
        <v>0.52941242274026068</v>
      </c>
      <c r="DC50" s="44">
        <f t="shared" si="115"/>
        <v>0.66951359658587373</v>
      </c>
      <c r="DD50" s="44">
        <f t="shared" si="116"/>
        <v>0.80151783637470486</v>
      </c>
      <c r="DE50" s="44">
        <f t="shared" si="117"/>
        <v>0.93082913100745335</v>
      </c>
      <c r="DF50" s="21">
        <f t="shared" si="185"/>
        <v>0</v>
      </c>
      <c r="DG50" s="21">
        <f t="shared" si="186"/>
        <v>0</v>
      </c>
      <c r="DH50" s="21">
        <f t="shared" si="187"/>
        <v>0</v>
      </c>
      <c r="DI50" s="21">
        <f t="shared" si="188"/>
        <v>0</v>
      </c>
      <c r="DJ50" s="21">
        <f t="shared" si="189"/>
        <v>57712.768694516155</v>
      </c>
      <c r="DK50" s="21">
        <f t="shared" si="190"/>
        <v>63861.748897108781</v>
      </c>
      <c r="DL50" s="21">
        <f t="shared" si="191"/>
        <v>30450.787225229298</v>
      </c>
      <c r="DM50" s="21">
        <f t="shared" si="192"/>
        <v>14519.653230181662</v>
      </c>
      <c r="DN50" s="21">
        <f t="shared" si="193"/>
        <v>6923.3130254801563</v>
      </c>
      <c r="DO50" s="21">
        <f t="shared" si="194"/>
        <v>3301.1989399774948</v>
      </c>
      <c r="DP50" s="21">
        <f t="shared" si="195"/>
        <v>1574.0895423227448</v>
      </c>
      <c r="DQ50" s="21">
        <f t="shared" si="196"/>
        <v>1752.2576915502782</v>
      </c>
      <c r="DR50" s="21">
        <f t="shared" si="197"/>
        <v>0</v>
      </c>
      <c r="DS50" s="21">
        <f t="shared" si="198"/>
        <v>5259294.7791851563</v>
      </c>
      <c r="DT50" s="21">
        <f t="shared" si="199"/>
        <v>5380533.9050420569</v>
      </c>
      <c r="DU50" s="21">
        <f t="shared" si="200"/>
        <v>4494545.0179262776</v>
      </c>
      <c r="DV50" s="13">
        <f t="shared" si="201"/>
        <v>0</v>
      </c>
      <c r="DW50" s="13">
        <f t="shared" si="202"/>
        <v>0</v>
      </c>
      <c r="DX50" s="13">
        <f t="shared" si="203"/>
        <v>0</v>
      </c>
      <c r="DY50" s="13">
        <f t="shared" si="204"/>
        <v>0</v>
      </c>
      <c r="DZ50" s="13">
        <f t="shared" si="205"/>
        <v>191553.75771071462</v>
      </c>
      <c r="EA50" s="13">
        <f t="shared" si="206"/>
        <v>308180.32880949095</v>
      </c>
      <c r="EB50" s="13">
        <f t="shared" si="207"/>
        <v>205325.00155551193</v>
      </c>
      <c r="EC50" s="13">
        <f t="shared" si="208"/>
        <v>132823.71582336546</v>
      </c>
      <c r="ED50" s="13">
        <f t="shared" si="209"/>
        <v>76862.73923917592</v>
      </c>
      <c r="EE50" s="13">
        <f t="shared" si="210"/>
        <v>43921.168904142243</v>
      </c>
      <c r="EF50" s="13">
        <f t="shared" si="211"/>
        <v>23907.179179547231</v>
      </c>
      <c r="EG50" s="13">
        <f t="shared" si="212"/>
        <v>29610.477889637157</v>
      </c>
      <c r="EH50" s="13">
        <f t="shared" si="213"/>
        <v>0</v>
      </c>
      <c r="EI50" s="13">
        <f t="shared" si="214"/>
        <v>52592.947791851562</v>
      </c>
      <c r="EJ50" s="13">
        <f t="shared" si="215"/>
        <v>107610.67810084113</v>
      </c>
      <c r="EK50" s="13">
        <f t="shared" si="216"/>
        <v>134836.35053778833</v>
      </c>
      <c r="EL50" s="21">
        <f t="shared" si="120"/>
        <v>1012184.3691115855</v>
      </c>
      <c r="EM50" s="21">
        <f t="shared" si="121"/>
        <v>295039.97643048107</v>
      </c>
      <c r="EN50" s="21">
        <f t="shared" si="217"/>
        <v>15182765536.673782</v>
      </c>
      <c r="EO50" s="21">
        <f t="shared" si="218"/>
        <v>6638399469.6858244</v>
      </c>
      <c r="EP50" s="21">
        <f t="shared" si="219"/>
        <v>12930229106.810524</v>
      </c>
      <c r="EQ50" s="21">
        <f t="shared" si="220"/>
        <v>4539323525.2689953</v>
      </c>
      <c r="ER50" s="21">
        <f t="shared" si="221"/>
        <v>1233145117.171634</v>
      </c>
      <c r="ES50" s="21">
        <f t="shared" si="222"/>
        <v>432911481.63023931</v>
      </c>
    </row>
    <row r="51" spans="1:149" ht="21.75" thickBot="1" x14ac:dyDescent="0.4">
      <c r="A51" s="88" t="s">
        <v>100</v>
      </c>
      <c r="B51" s="89">
        <v>1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O51" s="3">
        <v>49</v>
      </c>
      <c r="P51" s="21">
        <f t="shared" si="122"/>
        <v>450507.28597265156</v>
      </c>
      <c r="Q51" s="21">
        <f t="shared" si="123"/>
        <v>419815.18888336571</v>
      </c>
      <c r="R51" s="13">
        <f t="shared" si="240"/>
        <v>692036.08012219414</v>
      </c>
      <c r="S51" s="13">
        <f t="shared" si="224"/>
        <v>512672.9387284611</v>
      </c>
      <c r="T51" s="13">
        <f t="shared" si="225"/>
        <v>399270.08744268381</v>
      </c>
      <c r="U51" s="13">
        <f t="shared" si="226"/>
        <v>326894.70085070375</v>
      </c>
      <c r="V51" s="13">
        <f t="shared" si="227"/>
        <v>267638.74628090911</v>
      </c>
      <c r="W51" s="13">
        <f t="shared" si="228"/>
        <v>167223.91900197291</v>
      </c>
      <c r="X51" s="13">
        <f t="shared" si="229"/>
        <v>79736.306015568858</v>
      </c>
      <c r="Y51" s="13">
        <f t="shared" si="230"/>
        <v>38020.150254854401</v>
      </c>
      <c r="Z51" s="13">
        <f t="shared" si="231"/>
        <v>18128.903971405682</v>
      </c>
      <c r="AA51" s="13">
        <f t="shared" si="232"/>
        <v>8644.2888830163574</v>
      </c>
      <c r="AB51" s="13">
        <f t="shared" si="233"/>
        <v>4121.8008188346703</v>
      </c>
      <c r="AC51" s="13">
        <f t="shared" si="234"/>
        <v>4588.339153154986</v>
      </c>
      <c r="AD51" s="13">
        <f t="shared" si="235"/>
        <v>47617256.595787279</v>
      </c>
      <c r="AE51" s="13">
        <f t="shared" si="236"/>
        <v>32978656.995231356</v>
      </c>
      <c r="AF51" s="13">
        <f t="shared" si="237"/>
        <v>18515687.777889933</v>
      </c>
      <c r="AG51" s="13">
        <f t="shared" si="238"/>
        <v>15466791.176822733</v>
      </c>
      <c r="AH51" s="21">
        <f t="shared" si="137"/>
        <v>0</v>
      </c>
      <c r="AI51" s="21">
        <f t="shared" si="138"/>
        <v>1538.0188161853832</v>
      </c>
      <c r="AJ51" s="21">
        <f t="shared" si="139"/>
        <v>19753.362220848569</v>
      </c>
      <c r="AK51" s="21">
        <f t="shared" si="140"/>
        <v>89397.098190539808</v>
      </c>
      <c r="AL51" s="21">
        <f t="shared" si="141"/>
        <v>154751.54034958253</v>
      </c>
      <c r="AM51" s="21">
        <f t="shared" si="142"/>
        <v>135486.57942717741</v>
      </c>
      <c r="AN51" s="21">
        <f t="shared" si="143"/>
        <v>74691.935498162871</v>
      </c>
      <c r="AO51" s="21">
        <f t="shared" si="144"/>
        <v>37429.837395634291</v>
      </c>
      <c r="AP51" s="21">
        <f t="shared" si="145"/>
        <v>18030.62622882385</v>
      </c>
      <c r="AQ51" s="21">
        <f t="shared" si="146"/>
        <v>8618.3560163673101</v>
      </c>
      <c r="AR51" s="21">
        <f t="shared" si="147"/>
        <v>4121.8008188346703</v>
      </c>
      <c r="AS51" s="21">
        <f t="shared" si="148"/>
        <v>4588.339153154986</v>
      </c>
      <c r="AT51" s="21">
        <f t="shared" si="149"/>
        <v>0</v>
      </c>
      <c r="AU51" s="21">
        <f t="shared" si="150"/>
        <v>16489328.497615678</v>
      </c>
      <c r="AV51" s="21">
        <f t="shared" si="151"/>
        <v>18515687.777889933</v>
      </c>
      <c r="AW51" s="21">
        <f t="shared" si="152"/>
        <v>15466791.176822733</v>
      </c>
      <c r="AX51" s="13">
        <f t="shared" si="100"/>
        <v>0.2</v>
      </c>
      <c r="AY51" s="13">
        <f t="shared" si="124"/>
        <v>0.6</v>
      </c>
      <c r="AZ51" s="13">
        <f t="shared" si="125"/>
        <v>1.2658</v>
      </c>
      <c r="BA51" s="13">
        <f t="shared" si="126"/>
        <v>2.1566490264773872</v>
      </c>
      <c r="BB51" s="13">
        <f t="shared" si="127"/>
        <v>3.3190879968366396</v>
      </c>
      <c r="BC51" s="13">
        <f t="shared" si="128"/>
        <v>4.8257420825633757</v>
      </c>
      <c r="BD51" s="13">
        <f t="shared" si="129"/>
        <v>6.742847083579357</v>
      </c>
      <c r="BE51" s="13">
        <f t="shared" si="130"/>
        <v>9.1478573177666167</v>
      </c>
      <c r="BF51" s="13">
        <f t="shared" si="131"/>
        <v>11.102017073961379</v>
      </c>
      <c r="BG51" s="13">
        <f t="shared" si="132"/>
        <v>13.304611396198107</v>
      </c>
      <c r="BH51" s="13">
        <f t="shared" si="133"/>
        <v>15.187941114472601</v>
      </c>
      <c r="BI51" s="13">
        <f t="shared" si="134"/>
        <v>16.898472294845323</v>
      </c>
      <c r="BJ51" s="13">
        <f t="shared" si="153"/>
        <v>4.0000000000000001E-3</v>
      </c>
      <c r="BK51" s="13">
        <f t="shared" si="154"/>
        <v>0.01</v>
      </c>
      <c r="BL51" s="13">
        <f t="shared" si="155"/>
        <v>0.02</v>
      </c>
      <c r="BM51" s="13">
        <f t="shared" si="156"/>
        <v>0.03</v>
      </c>
      <c r="BN51" s="30">
        <f t="shared" si="102"/>
        <v>4693566.7718977891</v>
      </c>
      <c r="BO51" s="30">
        <f t="shared" si="103"/>
        <v>1354573.0871979434</v>
      </c>
      <c r="BP51" s="30">
        <f t="shared" si="104"/>
        <v>2687198.9494645814</v>
      </c>
      <c r="BQ51" s="30">
        <f t="shared" si="105"/>
        <v>999210.77583863749</v>
      </c>
      <c r="BR51" s="36">
        <f t="shared" si="157"/>
        <v>0.3</v>
      </c>
      <c r="BS51" s="36">
        <f t="shared" si="158"/>
        <v>0.25</v>
      </c>
      <c r="BT51" s="36">
        <f t="shared" si="159"/>
        <v>0.2</v>
      </c>
      <c r="BU51" s="36">
        <f t="shared" si="160"/>
        <v>0.2</v>
      </c>
      <c r="BV51" s="36">
        <f t="shared" si="161"/>
        <v>0.2</v>
      </c>
      <c r="BW51" s="36">
        <f t="shared" si="162"/>
        <v>0.2</v>
      </c>
      <c r="BX51" s="36">
        <f t="shared" si="163"/>
        <v>0.2</v>
      </c>
      <c r="BY51" s="36">
        <f t="shared" si="164"/>
        <v>0.2</v>
      </c>
      <c r="BZ51" s="36">
        <f t="shared" si="165"/>
        <v>0.2</v>
      </c>
      <c r="CA51" s="36">
        <f t="shared" si="166"/>
        <v>0.2</v>
      </c>
      <c r="CB51" s="36">
        <f t="shared" si="167"/>
        <v>0.2</v>
      </c>
      <c r="CC51" s="36">
        <f t="shared" si="168"/>
        <v>0.2</v>
      </c>
      <c r="CD51" s="35">
        <f t="shared" si="169"/>
        <v>0.36733462999923738</v>
      </c>
      <c r="CE51" s="35">
        <f t="shared" si="170"/>
        <v>0.36733462999923738</v>
      </c>
      <c r="CF51" s="35">
        <f t="shared" si="171"/>
        <v>0.36733462999923738</v>
      </c>
      <c r="CG51" s="35">
        <f t="shared" si="172"/>
        <v>0.36733462999923738</v>
      </c>
      <c r="CH51" s="28">
        <f t="shared" si="173"/>
        <v>0</v>
      </c>
      <c r="CI51" s="28">
        <f t="shared" si="174"/>
        <v>0</v>
      </c>
      <c r="CJ51" s="28">
        <f t="shared" si="175"/>
        <v>15770.613467982284</v>
      </c>
      <c r="CK51" s="28">
        <f t="shared" si="176"/>
        <v>23888.72375160392</v>
      </c>
      <c r="CL51" s="28">
        <f t="shared" si="177"/>
        <v>32524.84128196408</v>
      </c>
      <c r="CM51" s="28">
        <f t="shared" si="178"/>
        <v>31774.25357635539</v>
      </c>
      <c r="CN51" s="28">
        <f t="shared" si="179"/>
        <v>22669.837819678149</v>
      </c>
      <c r="CO51" s="28">
        <f t="shared" si="180"/>
        <v>15649.069374938543</v>
      </c>
      <c r="CP51" s="28">
        <f t="shared" si="181"/>
        <v>9597.6671541850083</v>
      </c>
      <c r="CQ51" s="28">
        <f t="shared" si="182"/>
        <v>5787.4690491747269</v>
      </c>
      <c r="CR51" s="28">
        <f t="shared" si="183"/>
        <v>3303.6969366032699</v>
      </c>
      <c r="CS51" s="28">
        <f t="shared" si="184"/>
        <v>4270.959827269322</v>
      </c>
      <c r="CT51" s="44">
        <f t="shared" si="106"/>
        <v>0</v>
      </c>
      <c r="CU51" s="44">
        <f t="shared" si="107"/>
        <v>0</v>
      </c>
      <c r="CV51" s="44">
        <f t="shared" si="108"/>
        <v>3.9498609998541885E-2</v>
      </c>
      <c r="CW51" s="44">
        <f t="shared" si="109"/>
        <v>7.3077733256110972E-2</v>
      </c>
      <c r="CX51" s="44">
        <f t="shared" si="110"/>
        <v>0.12152515931989367</v>
      </c>
      <c r="CY51" s="44">
        <f t="shared" si="111"/>
        <v>0.19001021962641909</v>
      </c>
      <c r="CZ51" s="44">
        <f t="shared" si="112"/>
        <v>0.28431010856273886</v>
      </c>
      <c r="DA51" s="44">
        <f t="shared" si="113"/>
        <v>0.41159935639498096</v>
      </c>
      <c r="DB51" s="44">
        <f t="shared" si="114"/>
        <v>0.52941243272749394</v>
      </c>
      <c r="DC51" s="44">
        <f t="shared" si="115"/>
        <v>0.66951360921608105</v>
      </c>
      <c r="DD51" s="44">
        <f t="shared" si="116"/>
        <v>0.8015178514951391</v>
      </c>
      <c r="DE51" s="44">
        <f t="shared" si="117"/>
        <v>0.93082914856731314</v>
      </c>
      <c r="DF51" s="21">
        <f t="shared" si="185"/>
        <v>0</v>
      </c>
      <c r="DG51" s="21">
        <f t="shared" si="186"/>
        <v>0</v>
      </c>
      <c r="DH51" s="21">
        <f t="shared" si="187"/>
        <v>0</v>
      </c>
      <c r="DI51" s="21">
        <f t="shared" si="188"/>
        <v>0</v>
      </c>
      <c r="DJ51" s="21">
        <f t="shared" si="189"/>
        <v>57712.768193592761</v>
      </c>
      <c r="DK51" s="21">
        <f t="shared" si="190"/>
        <v>63861.74812862269</v>
      </c>
      <c r="DL51" s="21">
        <f t="shared" si="191"/>
        <v>30450.786716779217</v>
      </c>
      <c r="DM51" s="21">
        <f t="shared" si="192"/>
        <v>14519.652893431205</v>
      </c>
      <c r="DN51" s="21">
        <f t="shared" si="193"/>
        <v>6923.3128022567043</v>
      </c>
      <c r="DO51" s="21">
        <f t="shared" si="194"/>
        <v>3301.1987919726412</v>
      </c>
      <c r="DP51" s="21">
        <f t="shared" si="195"/>
        <v>1574.0894442598544</v>
      </c>
      <c r="DQ51" s="21">
        <f t="shared" si="196"/>
        <v>1752.2574585997149</v>
      </c>
      <c r="DR51" s="21">
        <f t="shared" si="197"/>
        <v>0</v>
      </c>
      <c r="DS51" s="21">
        <f t="shared" si="198"/>
        <v>5259294.8195774751</v>
      </c>
      <c r="DT51" s="21">
        <f t="shared" si="199"/>
        <v>5380533.9817156522</v>
      </c>
      <c r="DU51" s="21">
        <f t="shared" si="200"/>
        <v>4494545.1939608334</v>
      </c>
      <c r="DV51" s="13">
        <f t="shared" si="201"/>
        <v>0</v>
      </c>
      <c r="DW51" s="13">
        <f t="shared" si="202"/>
        <v>0</v>
      </c>
      <c r="DX51" s="13">
        <f t="shared" si="203"/>
        <v>0</v>
      </c>
      <c r="DY51" s="13">
        <f t="shared" si="204"/>
        <v>0</v>
      </c>
      <c r="DZ51" s="13">
        <f t="shared" si="205"/>
        <v>191553.75617556911</v>
      </c>
      <c r="EA51" s="13">
        <f t="shared" si="206"/>
        <v>308180.32541035744</v>
      </c>
      <c r="EB51" s="13">
        <f t="shared" si="207"/>
        <v>205324.99840593178</v>
      </c>
      <c r="EC51" s="13">
        <f t="shared" si="208"/>
        <v>132823.71297260586</v>
      </c>
      <c r="ED51" s="13">
        <f t="shared" si="209"/>
        <v>76862.736939029332</v>
      </c>
      <c r="EE51" s="13">
        <f t="shared" si="210"/>
        <v>43921.167068794624</v>
      </c>
      <c r="EF51" s="13">
        <f t="shared" si="211"/>
        <v>23907.17778833157</v>
      </c>
      <c r="EG51" s="13">
        <f t="shared" si="212"/>
        <v>29610.474117583359</v>
      </c>
      <c r="EH51" s="13">
        <f t="shared" si="213"/>
        <v>0</v>
      </c>
      <c r="EI51" s="13">
        <f t="shared" si="214"/>
        <v>52592.948195774748</v>
      </c>
      <c r="EJ51" s="13">
        <f t="shared" si="215"/>
        <v>107610.67963431304</v>
      </c>
      <c r="EK51" s="13">
        <f t="shared" si="216"/>
        <v>134836.35581882499</v>
      </c>
      <c r="EL51" s="21">
        <f t="shared" si="120"/>
        <v>1012184.348878203</v>
      </c>
      <c r="EM51" s="21">
        <f t="shared" si="121"/>
        <v>295039.98364891275</v>
      </c>
      <c r="EN51" s="21">
        <f t="shared" si="217"/>
        <v>15182765233.173044</v>
      </c>
      <c r="EO51" s="21">
        <f t="shared" si="218"/>
        <v>6638399632.1005373</v>
      </c>
      <c r="EP51" s="21">
        <f t="shared" si="219"/>
        <v>12930228803.309786</v>
      </c>
      <c r="EQ51" s="21">
        <f t="shared" si="220"/>
        <v>4539323687.6837082</v>
      </c>
      <c r="ER51" s="21">
        <f t="shared" si="221"/>
        <v>1173003892.6000729</v>
      </c>
      <c r="ES51" s="21">
        <f t="shared" si="222"/>
        <v>411798154.2648142</v>
      </c>
    </row>
    <row r="52" spans="1:149" ht="15.75" thickBot="1" x14ac:dyDescent="0.3">
      <c r="A52" s="67" t="s">
        <v>99</v>
      </c>
      <c r="B52" s="76">
        <v>3</v>
      </c>
      <c r="C52" s="76">
        <v>4</v>
      </c>
      <c r="D52" s="76">
        <v>5</v>
      </c>
      <c r="E52" s="76">
        <v>6</v>
      </c>
      <c r="F52" s="76">
        <v>7</v>
      </c>
      <c r="G52" s="76">
        <v>8</v>
      </c>
      <c r="H52" s="76">
        <v>9</v>
      </c>
      <c r="I52" s="76">
        <v>10</v>
      </c>
      <c r="J52" s="76">
        <v>11</v>
      </c>
      <c r="K52" s="76">
        <v>12</v>
      </c>
      <c r="L52" s="76">
        <v>13</v>
      </c>
      <c r="M52" s="68">
        <v>14</v>
      </c>
      <c r="O52" s="3">
        <v>50</v>
      </c>
      <c r="P52" s="21">
        <f t="shared" si="122"/>
        <v>450507.28597265156</v>
      </c>
      <c r="Q52" s="21">
        <f t="shared" si="123"/>
        <v>419815.18888336571</v>
      </c>
      <c r="R52" s="13">
        <f t="shared" si="240"/>
        <v>692036.07895016286</v>
      </c>
      <c r="S52" s="13">
        <f t="shared" si="224"/>
        <v>512672.93752367463</v>
      </c>
      <c r="T52" s="13">
        <f t="shared" si="225"/>
        <v>399270.08614124387</v>
      </c>
      <c r="U52" s="13">
        <f t="shared" si="226"/>
        <v>326894.69937346014</v>
      </c>
      <c r="V52" s="13">
        <f t="shared" si="227"/>
        <v>267638.74460469827</v>
      </c>
      <c r="W52" s="13">
        <f t="shared" si="228"/>
        <v>167223.91755053718</v>
      </c>
      <c r="X52" s="13">
        <f t="shared" si="229"/>
        <v>79736.305056054844</v>
      </c>
      <c r="Y52" s="13">
        <f t="shared" si="230"/>
        <v>38020.149620015363</v>
      </c>
      <c r="Z52" s="13">
        <f t="shared" si="231"/>
        <v>18128.90355094683</v>
      </c>
      <c r="AA52" s="13">
        <f t="shared" si="232"/>
        <v>8644.2886043047056</v>
      </c>
      <c r="AB52" s="13">
        <f t="shared" si="233"/>
        <v>4121.8006340392249</v>
      </c>
      <c r="AC52" s="13">
        <f t="shared" si="234"/>
        <v>4588.3387127508804</v>
      </c>
      <c r="AD52" s="13">
        <f t="shared" si="235"/>
        <v>47617256.648930483</v>
      </c>
      <c r="AE52" s="13">
        <f t="shared" si="236"/>
        <v>32978657.145464253</v>
      </c>
      <c r="AF52" s="13">
        <f t="shared" si="237"/>
        <v>18515687.950598009</v>
      </c>
      <c r="AG52" s="13">
        <f t="shared" si="238"/>
        <v>15466791.598901737</v>
      </c>
      <c r="AH52" s="21">
        <f t="shared" si="137"/>
        <v>0</v>
      </c>
      <c r="AI52" s="21">
        <f t="shared" si="138"/>
        <v>1538.018812571024</v>
      </c>
      <c r="AJ52" s="21">
        <f t="shared" si="139"/>
        <v>19753.362156461542</v>
      </c>
      <c r="AK52" s="21">
        <f t="shared" si="140"/>
        <v>89397.097786552549</v>
      </c>
      <c r="AL52" s="21">
        <f t="shared" si="141"/>
        <v>154751.53938037978</v>
      </c>
      <c r="AM52" s="21">
        <f t="shared" si="142"/>
        <v>135486.57825120891</v>
      </c>
      <c r="AN52" s="21">
        <f t="shared" si="143"/>
        <v>74691.934599350745</v>
      </c>
      <c r="AO52" s="21">
        <f t="shared" si="144"/>
        <v>37429.836770651964</v>
      </c>
      <c r="AP52" s="21">
        <f t="shared" si="145"/>
        <v>18030.625810644327</v>
      </c>
      <c r="AQ52" s="21">
        <f t="shared" si="146"/>
        <v>8618.3557384917931</v>
      </c>
      <c r="AR52" s="21">
        <f t="shared" si="147"/>
        <v>4121.8006340392249</v>
      </c>
      <c r="AS52" s="21">
        <f t="shared" si="148"/>
        <v>4588.3387127508804</v>
      </c>
      <c r="AT52" s="21">
        <f t="shared" si="149"/>
        <v>0</v>
      </c>
      <c r="AU52" s="21">
        <f t="shared" si="150"/>
        <v>16489328.572732126</v>
      </c>
      <c r="AV52" s="21">
        <f t="shared" si="151"/>
        <v>18515687.950598009</v>
      </c>
      <c r="AW52" s="21">
        <f t="shared" si="152"/>
        <v>15466791.598901737</v>
      </c>
      <c r="AX52" s="13">
        <f t="shared" si="100"/>
        <v>0.2</v>
      </c>
      <c r="AY52" s="13">
        <f t="shared" si="124"/>
        <v>0.6</v>
      </c>
      <c r="AZ52" s="13">
        <f t="shared" si="125"/>
        <v>1.2658</v>
      </c>
      <c r="BA52" s="13">
        <f t="shared" si="126"/>
        <v>2.1566490269989793</v>
      </c>
      <c r="BB52" s="13">
        <f t="shared" si="127"/>
        <v>3.3190879984287371</v>
      </c>
      <c r="BC52" s="13">
        <f t="shared" si="128"/>
        <v>4.8257420860557803</v>
      </c>
      <c r="BD52" s="13">
        <f t="shared" si="129"/>
        <v>6.7428470901803212</v>
      </c>
      <c r="BE52" s="13">
        <f t="shared" si="130"/>
        <v>9.1478573291757073</v>
      </c>
      <c r="BF52" s="13">
        <f t="shared" si="131"/>
        <v>11.102017092504861</v>
      </c>
      <c r="BG52" s="13">
        <f t="shared" si="132"/>
        <v>13.304611425416002</v>
      </c>
      <c r="BH52" s="13">
        <f t="shared" si="133"/>
        <v>15.187941159423735</v>
      </c>
      <c r="BI52" s="13">
        <f t="shared" si="134"/>
        <v>16.898472362495898</v>
      </c>
      <c r="BJ52" s="13">
        <f t="shared" si="153"/>
        <v>4.0000000000000001E-3</v>
      </c>
      <c r="BK52" s="13">
        <f t="shared" si="154"/>
        <v>0.01</v>
      </c>
      <c r="BL52" s="13">
        <f t="shared" si="155"/>
        <v>0.02</v>
      </c>
      <c r="BM52" s="13">
        <f t="shared" si="156"/>
        <v>0.03</v>
      </c>
      <c r="BN52" s="30">
        <f t="shared" si="102"/>
        <v>4693566.7258624854</v>
      </c>
      <c r="BO52" s="30">
        <f t="shared" si="103"/>
        <v>1354573.1050293767</v>
      </c>
      <c r="BP52" s="30">
        <f t="shared" si="104"/>
        <v>2687198.9120196863</v>
      </c>
      <c r="BQ52" s="30">
        <f t="shared" si="105"/>
        <v>999210.79270633357</v>
      </c>
      <c r="BR52" s="36">
        <f t="shared" si="157"/>
        <v>0.3</v>
      </c>
      <c r="BS52" s="36">
        <f t="shared" si="158"/>
        <v>0.25</v>
      </c>
      <c r="BT52" s="36">
        <f t="shared" si="159"/>
        <v>0.2</v>
      </c>
      <c r="BU52" s="36">
        <f t="shared" si="160"/>
        <v>0.2</v>
      </c>
      <c r="BV52" s="36">
        <f t="shared" si="161"/>
        <v>0.2</v>
      </c>
      <c r="BW52" s="36">
        <f t="shared" si="162"/>
        <v>0.2</v>
      </c>
      <c r="BX52" s="36">
        <f t="shared" si="163"/>
        <v>0.2</v>
      </c>
      <c r="BY52" s="36">
        <f t="shared" si="164"/>
        <v>0.2</v>
      </c>
      <c r="BZ52" s="36">
        <f t="shared" si="165"/>
        <v>0.2</v>
      </c>
      <c r="CA52" s="36">
        <f t="shared" si="166"/>
        <v>0.2</v>
      </c>
      <c r="CB52" s="36">
        <f t="shared" si="167"/>
        <v>0.2</v>
      </c>
      <c r="CC52" s="36">
        <f t="shared" si="168"/>
        <v>0.2</v>
      </c>
      <c r="CD52" s="35">
        <f t="shared" si="169"/>
        <v>0.36733462783186788</v>
      </c>
      <c r="CE52" s="35">
        <f t="shared" si="170"/>
        <v>0.36733462783186788</v>
      </c>
      <c r="CF52" s="35">
        <f t="shared" si="171"/>
        <v>0.36733462783186788</v>
      </c>
      <c r="CG52" s="35">
        <f t="shared" si="172"/>
        <v>0.36733462783186788</v>
      </c>
      <c r="CH52" s="28">
        <f t="shared" si="173"/>
        <v>0</v>
      </c>
      <c r="CI52" s="28">
        <f t="shared" si="174"/>
        <v>0</v>
      </c>
      <c r="CJ52" s="28">
        <f t="shared" si="175"/>
        <v>15770.613631022658</v>
      </c>
      <c r="CK52" s="28">
        <f t="shared" si="176"/>
        <v>23888.723968484075</v>
      </c>
      <c r="CL52" s="28">
        <f t="shared" si="177"/>
        <v>32524.841520528134</v>
      </c>
      <c r="CM52" s="28">
        <f t="shared" si="178"/>
        <v>31774.253732627294</v>
      </c>
      <c r="CN52" s="28">
        <f t="shared" si="179"/>
        <v>22669.83785513823</v>
      </c>
      <c r="CO52" s="28">
        <f t="shared" si="180"/>
        <v>15649.069326431909</v>
      </c>
      <c r="CP52" s="28">
        <f t="shared" si="181"/>
        <v>9597.6670620958921</v>
      </c>
      <c r="CQ52" s="28">
        <f t="shared" si="182"/>
        <v>5787.4689412702501</v>
      </c>
      <c r="CR52" s="28">
        <f t="shared" si="183"/>
        <v>3303.6968334093854</v>
      </c>
      <c r="CS52" s="28">
        <f t="shared" si="184"/>
        <v>4270.9594754039372</v>
      </c>
      <c r="CT52" s="44">
        <f t="shared" si="106"/>
        <v>0</v>
      </c>
      <c r="CU52" s="44">
        <f t="shared" si="107"/>
        <v>0</v>
      </c>
      <c r="CV52" s="44">
        <f t="shared" si="108"/>
        <v>3.9498610535635574E-2</v>
      </c>
      <c r="CW52" s="44">
        <f t="shared" si="109"/>
        <v>7.3077734249806403E-2</v>
      </c>
      <c r="CX52" s="44">
        <f t="shared" si="110"/>
        <v>0.12152516097236685</v>
      </c>
      <c r="CY52" s="44">
        <f t="shared" si="111"/>
        <v>0.19001022221013758</v>
      </c>
      <c r="CZ52" s="44">
        <f t="shared" si="112"/>
        <v>0.28431011242872706</v>
      </c>
      <c r="DA52" s="44">
        <f t="shared" si="113"/>
        <v>0.41159936199182123</v>
      </c>
      <c r="DB52" s="44">
        <f t="shared" si="114"/>
        <v>0.52941243992633125</v>
      </c>
      <c r="DC52" s="44">
        <f t="shared" si="115"/>
        <v>0.66951361831998424</v>
      </c>
      <c r="DD52" s="44">
        <f t="shared" si="116"/>
        <v>0.8015178623940078</v>
      </c>
      <c r="DE52" s="44">
        <f t="shared" si="117"/>
        <v>0.93082916122452897</v>
      </c>
      <c r="DF52" s="21">
        <f t="shared" si="185"/>
        <v>0</v>
      </c>
      <c r="DG52" s="21">
        <f t="shared" si="186"/>
        <v>0</v>
      </c>
      <c r="DH52" s="21">
        <f t="shared" si="187"/>
        <v>0</v>
      </c>
      <c r="DI52" s="21">
        <f t="shared" si="188"/>
        <v>0</v>
      </c>
      <c r="DJ52" s="21">
        <f t="shared" si="189"/>
        <v>57712.76783213998</v>
      </c>
      <c r="DK52" s="21">
        <f t="shared" si="190"/>
        <v>63861.747574328634</v>
      </c>
      <c r="DL52" s="21">
        <f t="shared" si="191"/>
        <v>30450.786350346938</v>
      </c>
      <c r="DM52" s="21">
        <f t="shared" si="192"/>
        <v>14519.652650990227</v>
      </c>
      <c r="DN52" s="21">
        <f t="shared" si="193"/>
        <v>6923.3126416861505</v>
      </c>
      <c r="DO52" s="21">
        <f t="shared" si="194"/>
        <v>3301.1986855344389</v>
      </c>
      <c r="DP52" s="21">
        <f t="shared" si="195"/>
        <v>1574.0893736876526</v>
      </c>
      <c r="DQ52" s="21">
        <f t="shared" si="196"/>
        <v>1752.257290412196</v>
      </c>
      <c r="DR52" s="21">
        <f t="shared" si="197"/>
        <v>0</v>
      </c>
      <c r="DS52" s="21">
        <f t="shared" si="198"/>
        <v>5259294.8486900879</v>
      </c>
      <c r="DT52" s="21">
        <f t="shared" si="199"/>
        <v>5380534.0369770881</v>
      </c>
      <c r="DU52" s="21">
        <f t="shared" si="200"/>
        <v>4494545.3208523262</v>
      </c>
      <c r="DV52" s="13">
        <f t="shared" si="201"/>
        <v>0</v>
      </c>
      <c r="DW52" s="13">
        <f t="shared" si="202"/>
        <v>0</v>
      </c>
      <c r="DX52" s="13">
        <f t="shared" si="203"/>
        <v>0</v>
      </c>
      <c r="DY52" s="13">
        <f t="shared" si="204"/>
        <v>0</v>
      </c>
      <c r="DZ52" s="13">
        <f t="shared" si="205"/>
        <v>191553.75506775989</v>
      </c>
      <c r="EA52" s="13">
        <f t="shared" si="206"/>
        <v>308180.32295850833</v>
      </c>
      <c r="EB52" s="13">
        <f t="shared" si="207"/>
        <v>205324.9961361395</v>
      </c>
      <c r="EC52" s="13">
        <f t="shared" si="208"/>
        <v>132823.71092044644</v>
      </c>
      <c r="ED52" s="13">
        <f t="shared" si="209"/>
        <v>76862.735284754628</v>
      </c>
      <c r="EE52" s="13">
        <f t="shared" si="210"/>
        <v>43921.165749129788</v>
      </c>
      <c r="EF52" s="13">
        <f t="shared" si="211"/>
        <v>23907.176787242228</v>
      </c>
      <c r="EG52" s="13">
        <f t="shared" si="212"/>
        <v>29610.471394012442</v>
      </c>
      <c r="EH52" s="13">
        <f t="shared" si="213"/>
        <v>0</v>
      </c>
      <c r="EI52" s="13">
        <f t="shared" si="214"/>
        <v>52592.948486900881</v>
      </c>
      <c r="EJ52" s="13">
        <f t="shared" si="215"/>
        <v>107610.68073954177</v>
      </c>
      <c r="EK52" s="13">
        <f t="shared" si="216"/>
        <v>134836.35962556978</v>
      </c>
      <c r="EL52" s="21">
        <f t="shared" si="120"/>
        <v>1012184.3342979933</v>
      </c>
      <c r="EM52" s="21">
        <f t="shared" si="121"/>
        <v>295039.98885201244</v>
      </c>
      <c r="EN52" s="21">
        <f t="shared" si="217"/>
        <v>15182765014.4699</v>
      </c>
      <c r="EO52" s="21">
        <f t="shared" si="218"/>
        <v>6638399749.1702795</v>
      </c>
      <c r="EP52" s="21">
        <f t="shared" si="219"/>
        <v>12930228584.606642</v>
      </c>
      <c r="EQ52" s="21">
        <f t="shared" si="220"/>
        <v>4539323804.7534504</v>
      </c>
      <c r="ER52" s="21">
        <f t="shared" si="221"/>
        <v>1115795798.8223863</v>
      </c>
      <c r="ES52" s="21">
        <f t="shared" si="222"/>
        <v>391714531.39414346</v>
      </c>
    </row>
    <row r="53" spans="1:149" ht="15.75" thickBot="1" x14ac:dyDescent="0.3">
      <c r="A53" s="66">
        <v>0</v>
      </c>
      <c r="B53" s="77">
        <v>0</v>
      </c>
      <c r="C53" s="77">
        <v>0</v>
      </c>
      <c r="D53" s="77">
        <v>0</v>
      </c>
      <c r="E53" s="77">
        <v>0</v>
      </c>
      <c r="F53" s="77">
        <v>0</v>
      </c>
      <c r="G53" s="78">
        <v>0</v>
      </c>
      <c r="H53" s="78">
        <v>5.9999999999999997E-7</v>
      </c>
      <c r="I53" s="78">
        <v>1.1999999999999999E-6</v>
      </c>
      <c r="J53" s="78">
        <v>1.1999999999999999E-6</v>
      </c>
      <c r="K53" s="78">
        <v>1.1999999999999999E-6</v>
      </c>
      <c r="L53" s="78">
        <v>1.1999999999999999E-6</v>
      </c>
      <c r="M53" s="79">
        <v>1.1999999999999999E-6</v>
      </c>
      <c r="O53" s="3">
        <v>51</v>
      </c>
      <c r="P53" s="21">
        <f t="shared" si="122"/>
        <v>450507.28597265156</v>
      </c>
      <c r="Q53" s="21">
        <f t="shared" si="123"/>
        <v>419815.18888336571</v>
      </c>
      <c r="R53" s="13">
        <f t="shared" si="240"/>
        <v>692036.07810569019</v>
      </c>
      <c r="S53" s="13">
        <f t="shared" si="224"/>
        <v>512672.93665541249</v>
      </c>
      <c r="T53" s="13">
        <f t="shared" si="225"/>
        <v>399270.08520295523</v>
      </c>
      <c r="U53" s="13">
        <f t="shared" si="226"/>
        <v>326894.69830793125</v>
      </c>
      <c r="V53" s="13">
        <f t="shared" si="227"/>
        <v>267638.74339523347</v>
      </c>
      <c r="W53" s="13">
        <f t="shared" si="228"/>
        <v>167223.91650322042</v>
      </c>
      <c r="X53" s="13">
        <f t="shared" si="229"/>
        <v>79736.304363976087</v>
      </c>
      <c r="Y53" s="13">
        <f t="shared" si="230"/>
        <v>38020.149162496469</v>
      </c>
      <c r="Z53" s="13">
        <f t="shared" si="231"/>
        <v>18128.903248240618</v>
      </c>
      <c r="AA53" s="13">
        <f t="shared" si="232"/>
        <v>8644.2884038200191</v>
      </c>
      <c r="AB53" s="13">
        <f t="shared" si="233"/>
        <v>4121.8005011429414</v>
      </c>
      <c r="AC53" s="13">
        <f t="shared" si="234"/>
        <v>4588.3383951321375</v>
      </c>
      <c r="AD53" s="13">
        <f t="shared" si="235"/>
        <v>47617256.687236793</v>
      </c>
      <c r="AE53" s="13">
        <f t="shared" si="236"/>
        <v>32978657.25374699</v>
      </c>
      <c r="AF53" s="13">
        <f t="shared" si="237"/>
        <v>18515688.07507579</v>
      </c>
      <c r="AG53" s="13">
        <f t="shared" si="238"/>
        <v>15466791.903135492</v>
      </c>
      <c r="AH53" s="21">
        <f t="shared" si="137"/>
        <v>0</v>
      </c>
      <c r="AI53" s="21">
        <f t="shared" si="138"/>
        <v>1538.0188099662375</v>
      </c>
      <c r="AJ53" s="21">
        <f t="shared" si="139"/>
        <v>19753.362110040947</v>
      </c>
      <c r="AK53" s="21">
        <f t="shared" si="140"/>
        <v>89397.097495158436</v>
      </c>
      <c r="AL53" s="21">
        <f t="shared" si="141"/>
        <v>154751.53868105452</v>
      </c>
      <c r="AM53" s="21">
        <f t="shared" si="142"/>
        <v>135486.57740266185</v>
      </c>
      <c r="AN53" s="21">
        <f t="shared" si="143"/>
        <v>74691.933951055078</v>
      </c>
      <c r="AO53" s="21">
        <f t="shared" si="144"/>
        <v>37429.836320236653</v>
      </c>
      <c r="AP53" s="21">
        <f t="shared" si="145"/>
        <v>18030.625509579102</v>
      </c>
      <c r="AQ53" s="21">
        <f t="shared" si="146"/>
        <v>8618.3555386085591</v>
      </c>
      <c r="AR53" s="21">
        <f t="shared" si="147"/>
        <v>4121.8005011429414</v>
      </c>
      <c r="AS53" s="21">
        <f t="shared" si="148"/>
        <v>4588.3383951321375</v>
      </c>
      <c r="AT53" s="21">
        <f t="shared" si="149"/>
        <v>0</v>
      </c>
      <c r="AU53" s="21">
        <f t="shared" si="150"/>
        <v>16489328.626873495</v>
      </c>
      <c r="AV53" s="21">
        <f t="shared" si="151"/>
        <v>18515688.07507579</v>
      </c>
      <c r="AW53" s="21">
        <f t="shared" si="152"/>
        <v>15466791.903135492</v>
      </c>
      <c r="AX53" s="13">
        <f t="shared" si="100"/>
        <v>0.2</v>
      </c>
      <c r="AY53" s="13">
        <f t="shared" si="124"/>
        <v>0.6</v>
      </c>
      <c r="AZ53" s="13">
        <f t="shared" si="125"/>
        <v>1.2658</v>
      </c>
      <c r="BA53" s="13">
        <f t="shared" si="126"/>
        <v>2.1566490273749448</v>
      </c>
      <c r="BB53" s="13">
        <f t="shared" si="127"/>
        <v>3.3190879995763574</v>
      </c>
      <c r="BC53" s="13">
        <f t="shared" si="128"/>
        <v>4.8257420885732634</v>
      </c>
      <c r="BD53" s="13">
        <f t="shared" si="129"/>
        <v>6.7428470949387478</v>
      </c>
      <c r="BE53" s="13">
        <f t="shared" si="130"/>
        <v>9.1478573374003869</v>
      </c>
      <c r="BF53" s="13">
        <f t="shared" si="131"/>
        <v>11.102017105872845</v>
      </c>
      <c r="BG53" s="13">
        <f t="shared" si="132"/>
        <v>13.304611446479077</v>
      </c>
      <c r="BH53" s="13">
        <f t="shared" si="133"/>
        <v>15.187941191827996</v>
      </c>
      <c r="BI53" s="13">
        <f t="shared" si="134"/>
        <v>16.89847241126164</v>
      </c>
      <c r="BJ53" s="13">
        <f t="shared" si="153"/>
        <v>4.0000000000000001E-3</v>
      </c>
      <c r="BK53" s="13">
        <f t="shared" si="154"/>
        <v>0.01</v>
      </c>
      <c r="BL53" s="13">
        <f t="shared" si="155"/>
        <v>0.02</v>
      </c>
      <c r="BM53" s="13">
        <f t="shared" si="156"/>
        <v>0.03</v>
      </c>
      <c r="BN53" s="30">
        <f t="shared" si="102"/>
        <v>4693566.6926778583</v>
      </c>
      <c r="BO53" s="30">
        <f t="shared" si="103"/>
        <v>1354573.1178819977</v>
      </c>
      <c r="BP53" s="30">
        <f t="shared" si="104"/>
        <v>2687198.885031187</v>
      </c>
      <c r="BQ53" s="30">
        <f t="shared" si="105"/>
        <v>999210.80486431555</v>
      </c>
      <c r="BR53" s="36">
        <f t="shared" si="157"/>
        <v>0.3</v>
      </c>
      <c r="BS53" s="36">
        <f t="shared" si="158"/>
        <v>0.25</v>
      </c>
      <c r="BT53" s="36">
        <f t="shared" si="159"/>
        <v>0.2</v>
      </c>
      <c r="BU53" s="36">
        <f t="shared" si="160"/>
        <v>0.2</v>
      </c>
      <c r="BV53" s="36">
        <f t="shared" si="161"/>
        <v>0.2</v>
      </c>
      <c r="BW53" s="36">
        <f t="shared" si="162"/>
        <v>0.2</v>
      </c>
      <c r="BX53" s="36">
        <f t="shared" si="163"/>
        <v>0.2</v>
      </c>
      <c r="BY53" s="36">
        <f t="shared" si="164"/>
        <v>0.2</v>
      </c>
      <c r="BZ53" s="36">
        <f t="shared" si="165"/>
        <v>0.2</v>
      </c>
      <c r="CA53" s="36">
        <f t="shared" si="166"/>
        <v>0.2</v>
      </c>
      <c r="CB53" s="36">
        <f t="shared" si="167"/>
        <v>0.2</v>
      </c>
      <c r="CC53" s="36">
        <f t="shared" si="168"/>
        <v>0.2</v>
      </c>
      <c r="CD53" s="35">
        <f t="shared" si="169"/>
        <v>0.3673346262696463</v>
      </c>
      <c r="CE53" s="35">
        <f t="shared" si="170"/>
        <v>0.3673346262696463</v>
      </c>
      <c r="CF53" s="35">
        <f t="shared" si="171"/>
        <v>0.3673346262696463</v>
      </c>
      <c r="CG53" s="35">
        <f t="shared" si="172"/>
        <v>0.3673346262696463</v>
      </c>
      <c r="CH53" s="28">
        <f t="shared" si="173"/>
        <v>0</v>
      </c>
      <c r="CI53" s="28">
        <f t="shared" si="174"/>
        <v>0</v>
      </c>
      <c r="CJ53" s="28">
        <f t="shared" si="175"/>
        <v>15770.613748530595</v>
      </c>
      <c r="CK53" s="28">
        <f t="shared" si="176"/>
        <v>23888.72412475292</v>
      </c>
      <c r="CL53" s="28">
        <f t="shared" si="177"/>
        <v>32524.841692326292</v>
      </c>
      <c r="CM53" s="28">
        <f t="shared" si="178"/>
        <v>31774.253845048388</v>
      </c>
      <c r="CN53" s="28">
        <f t="shared" si="179"/>
        <v>22669.837880562121</v>
      </c>
      <c r="CO53" s="28">
        <f t="shared" si="180"/>
        <v>15649.069291495196</v>
      </c>
      <c r="CP53" s="28">
        <f t="shared" si="181"/>
        <v>9597.666995906955</v>
      </c>
      <c r="CQ53" s="28">
        <f t="shared" si="182"/>
        <v>5787.468863766464</v>
      </c>
      <c r="CR53" s="28">
        <f t="shared" si="183"/>
        <v>3303.696759270435</v>
      </c>
      <c r="CS53" s="28">
        <f t="shared" si="184"/>
        <v>4270.9592216151605</v>
      </c>
      <c r="CT53" s="44">
        <f t="shared" si="106"/>
        <v>0</v>
      </c>
      <c r="CU53" s="44">
        <f t="shared" si="107"/>
        <v>0</v>
      </c>
      <c r="CV53" s="44">
        <f t="shared" si="108"/>
        <v>3.949861092276459E-2</v>
      </c>
      <c r="CW53" s="44">
        <f t="shared" si="109"/>
        <v>7.3077734966047081E-2</v>
      </c>
      <c r="CX53" s="44">
        <f t="shared" si="110"/>
        <v>0.12152516216344462</v>
      </c>
      <c r="CY53" s="44">
        <f t="shared" si="111"/>
        <v>0.19001022407244286</v>
      </c>
      <c r="CZ53" s="44">
        <f t="shared" si="112"/>
        <v>0.28431011521527305</v>
      </c>
      <c r="DA53" s="44">
        <f t="shared" si="113"/>
        <v>0.41159936602593938</v>
      </c>
      <c r="DB53" s="44">
        <f t="shared" si="114"/>
        <v>0.52941244511514474</v>
      </c>
      <c r="DC53" s="44">
        <f t="shared" si="115"/>
        <v>0.66951362488194044</v>
      </c>
      <c r="DD53" s="44">
        <f t="shared" si="116"/>
        <v>0.80151787024974819</v>
      </c>
      <c r="DE53" s="44">
        <f t="shared" si="117"/>
        <v>0.93082917034765977</v>
      </c>
      <c r="DF53" s="21">
        <f t="shared" si="185"/>
        <v>0</v>
      </c>
      <c r="DG53" s="21">
        <f t="shared" si="186"/>
        <v>0</v>
      </c>
      <c r="DH53" s="21">
        <f t="shared" si="187"/>
        <v>0</v>
      </c>
      <c r="DI53" s="21">
        <f t="shared" si="188"/>
        <v>0</v>
      </c>
      <c r="DJ53" s="21">
        <f t="shared" si="189"/>
        <v>57712.767571334836</v>
      </c>
      <c r="DK53" s="21">
        <f t="shared" si="190"/>
        <v>63861.747174365046</v>
      </c>
      <c r="DL53" s="21">
        <f t="shared" si="191"/>
        <v>30450.786086046472</v>
      </c>
      <c r="DM53" s="21">
        <f t="shared" si="192"/>
        <v>14519.652476266678</v>
      </c>
      <c r="DN53" s="21">
        <f t="shared" si="193"/>
        <v>6923.3125260845782</v>
      </c>
      <c r="DO53" s="21">
        <f t="shared" si="194"/>
        <v>3301.1986089706156</v>
      </c>
      <c r="DP53" s="21">
        <f t="shared" si="195"/>
        <v>1574.0893229354097</v>
      </c>
      <c r="DQ53" s="21">
        <f t="shared" si="196"/>
        <v>1752.2571691156238</v>
      </c>
      <c r="DR53" s="21">
        <f t="shared" si="197"/>
        <v>0</v>
      </c>
      <c r="DS53" s="21">
        <f t="shared" si="198"/>
        <v>5259294.8696735967</v>
      </c>
      <c r="DT53" s="21">
        <f t="shared" si="199"/>
        <v>5380534.0768065257</v>
      </c>
      <c r="DU53" s="21">
        <f t="shared" si="200"/>
        <v>4494545.4123154497</v>
      </c>
      <c r="DV53" s="13">
        <f t="shared" si="201"/>
        <v>0</v>
      </c>
      <c r="DW53" s="13">
        <f t="shared" si="202"/>
        <v>0</v>
      </c>
      <c r="DX53" s="13">
        <f t="shared" si="203"/>
        <v>0</v>
      </c>
      <c r="DY53" s="13">
        <f t="shared" si="204"/>
        <v>0</v>
      </c>
      <c r="DZ53" s="13">
        <f t="shared" si="205"/>
        <v>191553.75426835701</v>
      </c>
      <c r="EA53" s="13">
        <f t="shared" si="206"/>
        <v>308180.32118915807</v>
      </c>
      <c r="EB53" s="13">
        <f t="shared" si="207"/>
        <v>205324.9944988997</v>
      </c>
      <c r="EC53" s="13">
        <f t="shared" si="208"/>
        <v>132823.70944151984</v>
      </c>
      <c r="ED53" s="13">
        <f t="shared" si="209"/>
        <v>76862.734093894716</v>
      </c>
      <c r="EE53" s="13">
        <f t="shared" si="210"/>
        <v>43921.164800011262</v>
      </c>
      <c r="EF53" s="13">
        <f t="shared" si="211"/>
        <v>23907.17606742735</v>
      </c>
      <c r="EG53" s="13">
        <f t="shared" si="212"/>
        <v>29610.469429735789</v>
      </c>
      <c r="EH53" s="13">
        <f t="shared" si="213"/>
        <v>0</v>
      </c>
      <c r="EI53" s="13">
        <f t="shared" si="214"/>
        <v>52592.94869673597</v>
      </c>
      <c r="EJ53" s="13">
        <f t="shared" si="215"/>
        <v>107610.68153613052</v>
      </c>
      <c r="EK53" s="13">
        <f t="shared" si="216"/>
        <v>134836.36236946349</v>
      </c>
      <c r="EL53" s="21">
        <f t="shared" si="120"/>
        <v>1012184.3237890037</v>
      </c>
      <c r="EM53" s="21">
        <f t="shared" si="121"/>
        <v>295039.99260232999</v>
      </c>
      <c r="EN53" s="21">
        <f t="shared" si="217"/>
        <v>15182764856.835054</v>
      </c>
      <c r="EO53" s="21">
        <f t="shared" si="218"/>
        <v>6638399833.5524244</v>
      </c>
      <c r="EP53" s="21">
        <f t="shared" si="219"/>
        <v>12930228426.971796</v>
      </c>
      <c r="EQ53" s="21">
        <f t="shared" si="220"/>
        <v>4539323889.1355953</v>
      </c>
      <c r="ER53" s="21">
        <f t="shared" si="221"/>
        <v>1061377782.6346771</v>
      </c>
      <c r="ES53" s="21">
        <f t="shared" si="222"/>
        <v>372610395.19312626</v>
      </c>
    </row>
    <row r="54" spans="1:149" ht="15.75" thickBot="1" x14ac:dyDescent="0.3">
      <c r="A54" s="70">
        <v>1</v>
      </c>
      <c r="B54" s="69">
        <v>0</v>
      </c>
      <c r="C54" s="69">
        <v>0</v>
      </c>
      <c r="D54" s="69">
        <v>0</v>
      </c>
      <c r="E54" s="69">
        <v>0</v>
      </c>
      <c r="F54" s="71">
        <v>5.9999999999999997E-7</v>
      </c>
      <c r="G54" s="69">
        <v>1.1999999999999999E-6</v>
      </c>
      <c r="H54" s="69">
        <v>1.1999999999999999E-6</v>
      </c>
      <c r="I54" s="69">
        <v>1.1999999999999999E-6</v>
      </c>
      <c r="J54" s="69">
        <v>1.1999999999999999E-6</v>
      </c>
      <c r="K54" s="69">
        <v>1.1999999999999999E-6</v>
      </c>
      <c r="L54" s="69">
        <v>1.1999999999999999E-6</v>
      </c>
      <c r="M54" s="72">
        <v>1.1999999999999999E-6</v>
      </c>
      <c r="O54" s="3">
        <v>52</v>
      </c>
      <c r="P54" s="21">
        <f t="shared" si="122"/>
        <v>450507.28597265156</v>
      </c>
      <c r="Q54" s="21">
        <f t="shared" si="123"/>
        <v>419815.18888336571</v>
      </c>
      <c r="R54" s="13">
        <f t="shared" si="240"/>
        <v>692036.07749724062</v>
      </c>
      <c r="S54" s="13">
        <f t="shared" si="224"/>
        <v>512672.93602981174</v>
      </c>
      <c r="T54" s="13">
        <f t="shared" si="225"/>
        <v>399270.08452675201</v>
      </c>
      <c r="U54" s="13">
        <f t="shared" si="226"/>
        <v>326894.69753972552</v>
      </c>
      <c r="V54" s="13">
        <f t="shared" si="227"/>
        <v>267638.7425228522</v>
      </c>
      <c r="W54" s="13">
        <f t="shared" si="228"/>
        <v>167223.91574753224</v>
      </c>
      <c r="X54" s="13">
        <f t="shared" si="229"/>
        <v>79736.30386459078</v>
      </c>
      <c r="Y54" s="13">
        <f t="shared" si="230"/>
        <v>38020.148832497012</v>
      </c>
      <c r="Z54" s="13">
        <f t="shared" si="231"/>
        <v>18128.903030084828</v>
      </c>
      <c r="AA54" s="13">
        <f t="shared" si="232"/>
        <v>8644.2882594825642</v>
      </c>
      <c r="AB54" s="13">
        <f t="shared" si="233"/>
        <v>4121.8004055471183</v>
      </c>
      <c r="AC54" s="13">
        <f t="shared" si="234"/>
        <v>4588.3381662860893</v>
      </c>
      <c r="AD54" s="13">
        <f t="shared" si="235"/>
        <v>47617256.714847408</v>
      </c>
      <c r="AE54" s="13">
        <f t="shared" si="236"/>
        <v>32978657.331797063</v>
      </c>
      <c r="AF54" s="13">
        <f t="shared" si="237"/>
        <v>18515688.164796155</v>
      </c>
      <c r="AG54" s="13">
        <f t="shared" si="238"/>
        <v>15466792.12242189</v>
      </c>
      <c r="AH54" s="21">
        <f t="shared" si="137"/>
        <v>0</v>
      </c>
      <c r="AI54" s="21">
        <f t="shared" si="138"/>
        <v>1538.0188080894352</v>
      </c>
      <c r="AJ54" s="21">
        <f t="shared" si="139"/>
        <v>19753.36207658668</v>
      </c>
      <c r="AK54" s="21">
        <f t="shared" si="140"/>
        <v>89397.097285074386</v>
      </c>
      <c r="AL54" s="21">
        <f t="shared" si="141"/>
        <v>154751.53817663447</v>
      </c>
      <c r="AM54" s="21">
        <f t="shared" si="142"/>
        <v>135486.57679039531</v>
      </c>
      <c r="AN54" s="21">
        <f t="shared" si="143"/>
        <v>74691.933483262459</v>
      </c>
      <c r="AO54" s="21">
        <f t="shared" si="144"/>
        <v>37429.835995360874</v>
      </c>
      <c r="AP54" s="21">
        <f t="shared" si="145"/>
        <v>18030.625292605946</v>
      </c>
      <c r="AQ54" s="21">
        <f t="shared" si="146"/>
        <v>8618.3553947041182</v>
      </c>
      <c r="AR54" s="21">
        <f t="shared" si="147"/>
        <v>4121.8004055471183</v>
      </c>
      <c r="AS54" s="21">
        <f t="shared" si="148"/>
        <v>4588.3381662860893</v>
      </c>
      <c r="AT54" s="21">
        <f t="shared" si="149"/>
        <v>0</v>
      </c>
      <c r="AU54" s="21">
        <f t="shared" si="150"/>
        <v>16489328.665898532</v>
      </c>
      <c r="AV54" s="21">
        <f t="shared" si="151"/>
        <v>18515688.164796155</v>
      </c>
      <c r="AW54" s="21">
        <f t="shared" si="152"/>
        <v>15466792.12242189</v>
      </c>
      <c r="AX54" s="13">
        <f t="shared" si="100"/>
        <v>0.2</v>
      </c>
      <c r="AY54" s="13">
        <f t="shared" si="124"/>
        <v>0.6</v>
      </c>
      <c r="AZ54" s="13">
        <f t="shared" si="125"/>
        <v>1.2658</v>
      </c>
      <c r="BA54" s="13">
        <f t="shared" si="126"/>
        <v>2.1566490276459351</v>
      </c>
      <c r="BB54" s="13">
        <f t="shared" si="127"/>
        <v>3.3190880004035543</v>
      </c>
      <c r="BC54" s="13">
        <f t="shared" si="128"/>
        <v>4.8257420903878865</v>
      </c>
      <c r="BD54" s="13">
        <f t="shared" si="129"/>
        <v>6.7428470983687605</v>
      </c>
      <c r="BE54" s="13">
        <f t="shared" si="130"/>
        <v>9.1478573433291626</v>
      </c>
      <c r="BF54" s="13">
        <f t="shared" si="131"/>
        <v>11.102017115509465</v>
      </c>
      <c r="BG54" s="13">
        <f t="shared" si="132"/>
        <v>13.304611461663146</v>
      </c>
      <c r="BH54" s="13">
        <f t="shared" si="133"/>
        <v>15.187941215187756</v>
      </c>
      <c r="BI54" s="13">
        <f t="shared" si="134"/>
        <v>16.898472446415408</v>
      </c>
      <c r="BJ54" s="13">
        <f t="shared" si="153"/>
        <v>4.0000000000000001E-3</v>
      </c>
      <c r="BK54" s="13">
        <f t="shared" si="154"/>
        <v>0.01</v>
      </c>
      <c r="BL54" s="13">
        <f t="shared" si="155"/>
        <v>0.02</v>
      </c>
      <c r="BM54" s="13">
        <f t="shared" si="156"/>
        <v>0.03</v>
      </c>
      <c r="BN54" s="30">
        <f t="shared" si="102"/>
        <v>4693566.6687542833</v>
      </c>
      <c r="BO54" s="30">
        <f t="shared" si="103"/>
        <v>1354573.12714594</v>
      </c>
      <c r="BP54" s="30">
        <f t="shared" si="104"/>
        <v>2687198.8655755245</v>
      </c>
      <c r="BQ54" s="30">
        <f t="shared" si="105"/>
        <v>999210.81362756505</v>
      </c>
      <c r="BR54" s="36">
        <f t="shared" si="157"/>
        <v>0.3</v>
      </c>
      <c r="BS54" s="36">
        <f t="shared" si="158"/>
        <v>0.25</v>
      </c>
      <c r="BT54" s="36">
        <f t="shared" si="159"/>
        <v>0.2</v>
      </c>
      <c r="BU54" s="36">
        <f t="shared" si="160"/>
        <v>0.2</v>
      </c>
      <c r="BV54" s="36">
        <f t="shared" si="161"/>
        <v>0.2</v>
      </c>
      <c r="BW54" s="36">
        <f t="shared" si="162"/>
        <v>0.2</v>
      </c>
      <c r="BX54" s="36">
        <f t="shared" si="163"/>
        <v>0.2</v>
      </c>
      <c r="BY54" s="36">
        <f t="shared" si="164"/>
        <v>0.2</v>
      </c>
      <c r="BZ54" s="36">
        <f t="shared" si="165"/>
        <v>0.2</v>
      </c>
      <c r="CA54" s="36">
        <f t="shared" si="166"/>
        <v>0.2</v>
      </c>
      <c r="CB54" s="36">
        <f t="shared" si="167"/>
        <v>0.2</v>
      </c>
      <c r="CC54" s="36">
        <f t="shared" si="168"/>
        <v>0.2</v>
      </c>
      <c r="CD54" s="35">
        <f t="shared" si="169"/>
        <v>0.36733462514350129</v>
      </c>
      <c r="CE54" s="35">
        <f t="shared" si="170"/>
        <v>0.36733462514350129</v>
      </c>
      <c r="CF54" s="35">
        <f t="shared" si="171"/>
        <v>0.36733462514350129</v>
      </c>
      <c r="CG54" s="35">
        <f t="shared" si="172"/>
        <v>0.36733462514350129</v>
      </c>
      <c r="CH54" s="28">
        <f t="shared" si="173"/>
        <v>0</v>
      </c>
      <c r="CI54" s="28">
        <f t="shared" si="174"/>
        <v>0</v>
      </c>
      <c r="CJ54" s="28">
        <f t="shared" si="175"/>
        <v>15770.613833233027</v>
      </c>
      <c r="CK54" s="28">
        <f t="shared" si="176"/>
        <v>23888.724237376104</v>
      </c>
      <c r="CL54" s="28">
        <f t="shared" si="177"/>
        <v>32524.841816081804</v>
      </c>
      <c r="CM54" s="28">
        <f t="shared" si="178"/>
        <v>31774.253925929163</v>
      </c>
      <c r="CN54" s="28">
        <f t="shared" si="179"/>
        <v>22669.837898732927</v>
      </c>
      <c r="CO54" s="28">
        <f t="shared" si="180"/>
        <v>15649.069266220497</v>
      </c>
      <c r="CP54" s="28">
        <f t="shared" si="181"/>
        <v>9597.6669482152938</v>
      </c>
      <c r="CQ54" s="28">
        <f t="shared" si="182"/>
        <v>5787.4688080161523</v>
      </c>
      <c r="CR54" s="28">
        <f t="shared" si="183"/>
        <v>3303.6967059876442</v>
      </c>
      <c r="CS54" s="28">
        <f t="shared" si="184"/>
        <v>4270.9590387707776</v>
      </c>
      <c r="CT54" s="44">
        <f t="shared" si="106"/>
        <v>0</v>
      </c>
      <c r="CU54" s="44">
        <f t="shared" si="107"/>
        <v>0</v>
      </c>
      <c r="CV54" s="44">
        <f t="shared" si="108"/>
        <v>3.9498611201802571E-2</v>
      </c>
      <c r="CW54" s="44">
        <f t="shared" si="109"/>
        <v>7.3077735482304826E-2</v>
      </c>
      <c r="CX54" s="44">
        <f t="shared" si="110"/>
        <v>0.1215251630219593</v>
      </c>
      <c r="CY54" s="44">
        <f t="shared" si="111"/>
        <v>0.19001022541477033</v>
      </c>
      <c r="CZ54" s="44">
        <f t="shared" si="112"/>
        <v>0.28431011722378224</v>
      </c>
      <c r="DA54" s="44">
        <f t="shared" si="113"/>
        <v>0.4115993689336836</v>
      </c>
      <c r="DB54" s="44">
        <f t="shared" si="114"/>
        <v>0.52941244885517957</v>
      </c>
      <c r="DC54" s="44">
        <f t="shared" si="115"/>
        <v>0.66951362961172034</v>
      </c>
      <c r="DD54" s="44">
        <f t="shared" si="116"/>
        <v>0.80151787591207224</v>
      </c>
      <c r="DE54" s="44">
        <f t="shared" si="117"/>
        <v>0.93082917692350342</v>
      </c>
      <c r="DF54" s="21">
        <f t="shared" si="185"/>
        <v>0</v>
      </c>
      <c r="DG54" s="21">
        <f t="shared" si="186"/>
        <v>0</v>
      </c>
      <c r="DH54" s="21">
        <f t="shared" si="187"/>
        <v>0</v>
      </c>
      <c r="DI54" s="21">
        <f t="shared" si="188"/>
        <v>0</v>
      </c>
      <c r="DJ54" s="21">
        <f t="shared" si="189"/>
        <v>57712.767383217317</v>
      </c>
      <c r="DK54" s="21">
        <f t="shared" si="190"/>
        <v>63861.746885772554</v>
      </c>
      <c r="DL54" s="21">
        <f t="shared" si="191"/>
        <v>30450.785895334408</v>
      </c>
      <c r="DM54" s="21">
        <f t="shared" si="192"/>
        <v>14519.65235024199</v>
      </c>
      <c r="DN54" s="21">
        <f t="shared" si="193"/>
        <v>6923.3124427722742</v>
      </c>
      <c r="DO54" s="21">
        <f t="shared" si="194"/>
        <v>3301.1985538490626</v>
      </c>
      <c r="DP54" s="21">
        <f t="shared" si="195"/>
        <v>1574.0892864279745</v>
      </c>
      <c r="DQ54" s="21">
        <f t="shared" si="196"/>
        <v>1752.2570817207773</v>
      </c>
      <c r="DR54" s="21">
        <f t="shared" si="197"/>
        <v>0</v>
      </c>
      <c r="DS54" s="21">
        <f t="shared" si="198"/>
        <v>5259294.8847987186</v>
      </c>
      <c r="DT54" s="21">
        <f t="shared" si="199"/>
        <v>5380534.105514871</v>
      </c>
      <c r="DU54" s="21">
        <f t="shared" si="200"/>
        <v>4494545.4782407172</v>
      </c>
      <c r="DV54" s="13">
        <f t="shared" si="201"/>
        <v>0</v>
      </c>
      <c r="DW54" s="13">
        <f t="shared" si="202"/>
        <v>0</v>
      </c>
      <c r="DX54" s="13">
        <f t="shared" si="203"/>
        <v>0</v>
      </c>
      <c r="DY54" s="13">
        <f t="shared" si="204"/>
        <v>0</v>
      </c>
      <c r="DZ54" s="13">
        <f t="shared" si="205"/>
        <v>191553.75369171824</v>
      </c>
      <c r="EA54" s="13">
        <f t="shared" si="206"/>
        <v>308180.31991237012</v>
      </c>
      <c r="EB54" s="13">
        <f t="shared" si="207"/>
        <v>205324.99331740398</v>
      </c>
      <c r="EC54" s="13">
        <f t="shared" si="208"/>
        <v>132823.70837474772</v>
      </c>
      <c r="ED54" s="13">
        <f t="shared" si="209"/>
        <v>76862.733235677428</v>
      </c>
      <c r="EE54" s="13">
        <f t="shared" si="210"/>
        <v>43921.164116766042</v>
      </c>
      <c r="EF54" s="13">
        <f t="shared" si="211"/>
        <v>23907.175549724918</v>
      </c>
      <c r="EG54" s="13">
        <f t="shared" si="212"/>
        <v>29610.468014494825</v>
      </c>
      <c r="EH54" s="13">
        <f t="shared" si="213"/>
        <v>0</v>
      </c>
      <c r="EI54" s="13">
        <f t="shared" si="214"/>
        <v>52592.948847987187</v>
      </c>
      <c r="EJ54" s="13">
        <f t="shared" si="215"/>
        <v>107610.68211029742</v>
      </c>
      <c r="EK54" s="13">
        <f t="shared" si="216"/>
        <v>134836.3643472215</v>
      </c>
      <c r="EL54" s="21">
        <f t="shared" si="120"/>
        <v>1012184.3162129035</v>
      </c>
      <c r="EM54" s="21">
        <f t="shared" si="121"/>
        <v>295039.99530550611</v>
      </c>
      <c r="EN54" s="21">
        <f t="shared" si="217"/>
        <v>15182764743.193552</v>
      </c>
      <c r="EO54" s="21">
        <f t="shared" si="218"/>
        <v>6638399894.3738871</v>
      </c>
      <c r="EP54" s="21">
        <f t="shared" si="219"/>
        <v>12930228313.330294</v>
      </c>
      <c r="EQ54" s="21">
        <f t="shared" si="220"/>
        <v>4539323949.957058</v>
      </c>
      <c r="ER54" s="21">
        <f t="shared" si="221"/>
        <v>1009613768.4801096</v>
      </c>
      <c r="ES54" s="21">
        <f t="shared" si="222"/>
        <v>354437976.53158212</v>
      </c>
    </row>
    <row r="55" spans="1:149" ht="15.75" thickBot="1" x14ac:dyDescent="0.3">
      <c r="O55" s="3">
        <v>53</v>
      </c>
      <c r="P55" s="21">
        <f t="shared" si="122"/>
        <v>450507.28597265156</v>
      </c>
      <c r="Q55" s="21">
        <f t="shared" si="123"/>
        <v>419815.18888336571</v>
      </c>
      <c r="R55" s="13">
        <f t="shared" si="240"/>
        <v>692036.07705878827</v>
      </c>
      <c r="S55" s="13">
        <f t="shared" si="224"/>
        <v>512672.93557906122</v>
      </c>
      <c r="T55" s="13">
        <f t="shared" si="225"/>
        <v>399270.08403953363</v>
      </c>
      <c r="U55" s="13">
        <f t="shared" si="226"/>
        <v>326894.69698609714</v>
      </c>
      <c r="V55" s="13">
        <f t="shared" si="227"/>
        <v>267638.74189389858</v>
      </c>
      <c r="W55" s="13">
        <f t="shared" si="228"/>
        <v>167223.91520245789</v>
      </c>
      <c r="X55" s="13">
        <f t="shared" si="229"/>
        <v>79736.303504260854</v>
      </c>
      <c r="Y55" s="13">
        <f t="shared" si="230"/>
        <v>38020.148594378326</v>
      </c>
      <c r="Z55" s="13">
        <f t="shared" si="231"/>
        <v>18128.902872733313</v>
      </c>
      <c r="AA55" s="13">
        <f t="shared" si="232"/>
        <v>8644.2881554607411</v>
      </c>
      <c r="AB55" s="13">
        <f t="shared" si="233"/>
        <v>4121.8003367236188</v>
      </c>
      <c r="AC55" s="13">
        <f t="shared" si="234"/>
        <v>4588.3380014925042</v>
      </c>
      <c r="AD55" s="13">
        <f t="shared" si="235"/>
        <v>47617256.734748617</v>
      </c>
      <c r="AE55" s="13">
        <f t="shared" si="236"/>
        <v>32978657.388058316</v>
      </c>
      <c r="AF55" s="13">
        <f t="shared" si="237"/>
        <v>18515688.22946829</v>
      </c>
      <c r="AG55" s="13">
        <f t="shared" si="238"/>
        <v>15466792.280481141</v>
      </c>
      <c r="AH55" s="21">
        <f t="shared" si="137"/>
        <v>0</v>
      </c>
      <c r="AI55" s="21">
        <f t="shared" si="138"/>
        <v>1538.0188067371837</v>
      </c>
      <c r="AJ55" s="21">
        <f t="shared" si="139"/>
        <v>19753.362052482193</v>
      </c>
      <c r="AK55" s="21">
        <f t="shared" si="140"/>
        <v>89397.097133671603</v>
      </c>
      <c r="AL55" s="21">
        <f t="shared" si="141"/>
        <v>154751.53781296688</v>
      </c>
      <c r="AM55" s="21">
        <f t="shared" si="142"/>
        <v>135486.57634877035</v>
      </c>
      <c r="AN55" s="21">
        <f t="shared" si="143"/>
        <v>74691.933145728137</v>
      </c>
      <c r="AO55" s="21">
        <f t="shared" si="144"/>
        <v>37429.835760939292</v>
      </c>
      <c r="AP55" s="21">
        <f t="shared" si="145"/>
        <v>18030.625136107443</v>
      </c>
      <c r="AQ55" s="21">
        <f t="shared" si="146"/>
        <v>8618.3552909943592</v>
      </c>
      <c r="AR55" s="21">
        <f t="shared" si="147"/>
        <v>4121.8003367236188</v>
      </c>
      <c r="AS55" s="21">
        <f t="shared" si="148"/>
        <v>4588.3380014925042</v>
      </c>
      <c r="AT55" s="21">
        <f t="shared" si="149"/>
        <v>0</v>
      </c>
      <c r="AU55" s="21">
        <f t="shared" si="150"/>
        <v>16489328.694029158</v>
      </c>
      <c r="AV55" s="21">
        <f t="shared" si="151"/>
        <v>18515688.22946829</v>
      </c>
      <c r="AW55" s="21">
        <f t="shared" si="152"/>
        <v>15466792.280481141</v>
      </c>
      <c r="AX55" s="13">
        <f t="shared" si="100"/>
        <v>0.2</v>
      </c>
      <c r="AY55" s="13">
        <f t="shared" si="124"/>
        <v>0.6</v>
      </c>
      <c r="AZ55" s="13">
        <f t="shared" si="125"/>
        <v>1.2658</v>
      </c>
      <c r="BA55" s="13">
        <f t="shared" si="126"/>
        <v>2.156649027841262</v>
      </c>
      <c r="BB55" s="13">
        <f t="shared" si="127"/>
        <v>3.3190880009997872</v>
      </c>
      <c r="BC55" s="13">
        <f t="shared" si="128"/>
        <v>4.8257420916958518</v>
      </c>
      <c r="BD55" s="13">
        <f t="shared" si="129"/>
        <v>6.7428471008411242</v>
      </c>
      <c r="BE55" s="13">
        <f t="shared" si="130"/>
        <v>9.1478573476027485</v>
      </c>
      <c r="BF55" s="13">
        <f t="shared" si="131"/>
        <v>11.102017122455951</v>
      </c>
      <c r="BG55" s="13">
        <f t="shared" si="132"/>
        <v>13.304611472608778</v>
      </c>
      <c r="BH55" s="13">
        <f t="shared" si="133"/>
        <v>15.187941232027248</v>
      </c>
      <c r="BI55" s="13">
        <f t="shared" si="134"/>
        <v>16.898472471756982</v>
      </c>
      <c r="BJ55" s="13">
        <f t="shared" si="153"/>
        <v>4.0000000000000001E-3</v>
      </c>
      <c r="BK55" s="13">
        <f t="shared" si="154"/>
        <v>0.01</v>
      </c>
      <c r="BL55" s="13">
        <f t="shared" si="155"/>
        <v>0.02</v>
      </c>
      <c r="BM55" s="13">
        <f t="shared" si="156"/>
        <v>0.03</v>
      </c>
      <c r="BN55" s="30">
        <f t="shared" si="102"/>
        <v>4693566.6515066391</v>
      </c>
      <c r="BO55" s="30">
        <f t="shared" si="103"/>
        <v>1354573.1338233778</v>
      </c>
      <c r="BP55" s="30">
        <f t="shared" si="104"/>
        <v>2687198.8515485884</v>
      </c>
      <c r="BQ55" s="30">
        <f t="shared" si="105"/>
        <v>999210.81994409161</v>
      </c>
      <c r="BR55" s="36">
        <f t="shared" si="157"/>
        <v>0.3</v>
      </c>
      <c r="BS55" s="36">
        <f t="shared" si="158"/>
        <v>0.25</v>
      </c>
      <c r="BT55" s="36">
        <f t="shared" si="159"/>
        <v>0.2</v>
      </c>
      <c r="BU55" s="36">
        <f t="shared" si="160"/>
        <v>0.2</v>
      </c>
      <c r="BV55" s="36">
        <f t="shared" si="161"/>
        <v>0.2</v>
      </c>
      <c r="BW55" s="36">
        <f t="shared" si="162"/>
        <v>0.2</v>
      </c>
      <c r="BX55" s="36">
        <f t="shared" si="163"/>
        <v>0.2</v>
      </c>
      <c r="BY55" s="36">
        <f t="shared" si="164"/>
        <v>0.2</v>
      </c>
      <c r="BZ55" s="36">
        <f t="shared" si="165"/>
        <v>0.2</v>
      </c>
      <c r="CA55" s="36">
        <f t="shared" si="166"/>
        <v>0.2</v>
      </c>
      <c r="CB55" s="36">
        <f t="shared" si="167"/>
        <v>0.2</v>
      </c>
      <c r="CC55" s="36">
        <f t="shared" si="168"/>
        <v>0.2</v>
      </c>
      <c r="CD55" s="35">
        <f t="shared" si="169"/>
        <v>0.36733462433165859</v>
      </c>
      <c r="CE55" s="35">
        <f t="shared" si="170"/>
        <v>0.36733462433165859</v>
      </c>
      <c r="CF55" s="35">
        <f t="shared" si="171"/>
        <v>0.36733462433165859</v>
      </c>
      <c r="CG55" s="35">
        <f t="shared" si="172"/>
        <v>0.36733462433165859</v>
      </c>
      <c r="CH55" s="28">
        <f t="shared" si="173"/>
        <v>0</v>
      </c>
      <c r="CI55" s="28">
        <f t="shared" si="174"/>
        <v>0</v>
      </c>
      <c r="CJ55" s="28">
        <f t="shared" si="175"/>
        <v>15770.613894294722</v>
      </c>
      <c r="CK55" s="28">
        <f t="shared" si="176"/>
        <v>23888.724318562876</v>
      </c>
      <c r="CL55" s="28">
        <f t="shared" si="177"/>
        <v>32524.841905269092</v>
      </c>
      <c r="CM55" s="28">
        <f t="shared" si="178"/>
        <v>31774.253984158342</v>
      </c>
      <c r="CN55" s="28">
        <f t="shared" si="179"/>
        <v>22669.837911725423</v>
      </c>
      <c r="CO55" s="28">
        <f t="shared" si="180"/>
        <v>15649.069247898209</v>
      </c>
      <c r="CP55" s="28">
        <f t="shared" si="181"/>
        <v>9597.6669137840872</v>
      </c>
      <c r="CQ55" s="28">
        <f t="shared" si="182"/>
        <v>5787.4687678427126</v>
      </c>
      <c r="CR55" s="28">
        <f t="shared" si="183"/>
        <v>3303.6966676472571</v>
      </c>
      <c r="CS55" s="28">
        <f t="shared" si="184"/>
        <v>4270.9589071244127</v>
      </c>
      <c r="CT55" s="44">
        <f t="shared" si="106"/>
        <v>0</v>
      </c>
      <c r="CU55" s="44">
        <f t="shared" si="107"/>
        <v>0</v>
      </c>
      <c r="CV55" s="44">
        <f t="shared" si="108"/>
        <v>3.9498611402934959E-2</v>
      </c>
      <c r="CW55" s="44">
        <f t="shared" si="109"/>
        <v>7.3077735854426742E-2</v>
      </c>
      <c r="CX55" s="44">
        <f t="shared" si="110"/>
        <v>0.12152516364078218</v>
      </c>
      <c r="CY55" s="44">
        <f t="shared" si="111"/>
        <v>0.19001022638232859</v>
      </c>
      <c r="CZ55" s="44">
        <f t="shared" si="112"/>
        <v>0.28431011867152856</v>
      </c>
      <c r="DA55" s="44">
        <f t="shared" si="113"/>
        <v>0.4115993710296042</v>
      </c>
      <c r="DB55" s="44">
        <f t="shared" si="114"/>
        <v>0.52941245155102079</v>
      </c>
      <c r="DC55" s="44">
        <f t="shared" si="115"/>
        <v>0.66951363302097611</v>
      </c>
      <c r="DD55" s="44">
        <f t="shared" si="116"/>
        <v>0.80151787999351154</v>
      </c>
      <c r="DE55" s="44">
        <f t="shared" si="117"/>
        <v>0.93082918166341411</v>
      </c>
      <c r="DF55" s="21">
        <f t="shared" si="185"/>
        <v>0</v>
      </c>
      <c r="DG55" s="21">
        <f t="shared" si="186"/>
        <v>0</v>
      </c>
      <c r="DH55" s="21">
        <f t="shared" si="187"/>
        <v>0</v>
      </c>
      <c r="DI55" s="21">
        <f t="shared" si="188"/>
        <v>0</v>
      </c>
      <c r="DJ55" s="21">
        <f t="shared" si="189"/>
        <v>57712.76724759175</v>
      </c>
      <c r="DK55" s="21">
        <f t="shared" si="190"/>
        <v>63861.746677612136</v>
      </c>
      <c r="DL55" s="21">
        <f t="shared" si="191"/>
        <v>30450.785757726706</v>
      </c>
      <c r="DM55" s="21">
        <f t="shared" si="192"/>
        <v>14519.652259305982</v>
      </c>
      <c r="DN55" s="21">
        <f t="shared" si="193"/>
        <v>6923.3123826807341</v>
      </c>
      <c r="DO55" s="21">
        <f t="shared" si="194"/>
        <v>3301.1985141237919</v>
      </c>
      <c r="DP55" s="21">
        <f t="shared" si="195"/>
        <v>1574.0892601447188</v>
      </c>
      <c r="DQ55" s="21">
        <f t="shared" si="196"/>
        <v>1752.2570187871584</v>
      </c>
      <c r="DR55" s="21">
        <f t="shared" si="197"/>
        <v>0</v>
      </c>
      <c r="DS55" s="21">
        <f t="shared" si="198"/>
        <v>5259294.8957016254</v>
      </c>
      <c r="DT55" s="21">
        <f t="shared" si="199"/>
        <v>5380534.1262086146</v>
      </c>
      <c r="DU55" s="21">
        <f t="shared" si="200"/>
        <v>4494545.5257591866</v>
      </c>
      <c r="DV55" s="13">
        <f t="shared" si="201"/>
        <v>0</v>
      </c>
      <c r="DW55" s="13">
        <f t="shared" si="202"/>
        <v>0</v>
      </c>
      <c r="DX55" s="13">
        <f t="shared" si="203"/>
        <v>0</v>
      </c>
      <c r="DY55" s="13">
        <f t="shared" si="204"/>
        <v>0</v>
      </c>
      <c r="DZ55" s="13">
        <f t="shared" si="205"/>
        <v>191553.75327597529</v>
      </c>
      <c r="EA55" s="13">
        <f t="shared" si="206"/>
        <v>308180.31899137062</v>
      </c>
      <c r="EB55" s="13">
        <f t="shared" si="207"/>
        <v>205324.99246482173</v>
      </c>
      <c r="EC55" s="13">
        <f t="shared" si="208"/>
        <v>132823.70760492908</v>
      </c>
      <c r="ED55" s="13">
        <f t="shared" si="209"/>
        <v>76862.732616632813</v>
      </c>
      <c r="EE55" s="13">
        <f t="shared" si="210"/>
        <v>43921.163624370456</v>
      </c>
      <c r="EF55" s="13">
        <f t="shared" si="211"/>
        <v>23907.175177043238</v>
      </c>
      <c r="EG55" s="13">
        <f t="shared" si="212"/>
        <v>29610.466995417752</v>
      </c>
      <c r="EH55" s="13">
        <f t="shared" si="213"/>
        <v>0</v>
      </c>
      <c r="EI55" s="13">
        <f t="shared" si="214"/>
        <v>52592.948957016255</v>
      </c>
      <c r="EJ55" s="13">
        <f t="shared" si="215"/>
        <v>107610.6825241723</v>
      </c>
      <c r="EK55" s="13">
        <f t="shared" si="216"/>
        <v>134836.36577277561</v>
      </c>
      <c r="EL55" s="21">
        <f t="shared" si="120"/>
        <v>1012184.310750561</v>
      </c>
      <c r="EM55" s="21">
        <f t="shared" si="121"/>
        <v>295039.99725396419</v>
      </c>
      <c r="EN55" s="21">
        <f t="shared" si="217"/>
        <v>15182764661.258415</v>
      </c>
      <c r="EO55" s="21">
        <f t="shared" si="218"/>
        <v>6638399938.2141943</v>
      </c>
      <c r="EP55" s="21">
        <f t="shared" si="219"/>
        <v>12930228231.395157</v>
      </c>
      <c r="EQ55" s="21">
        <f t="shared" si="220"/>
        <v>4539323993.7973652</v>
      </c>
      <c r="ER55" s="21">
        <f t="shared" si="221"/>
        <v>960374317.87371624</v>
      </c>
      <c r="ES55" s="21">
        <f t="shared" si="222"/>
        <v>337151835.69351101</v>
      </c>
    </row>
    <row r="56" spans="1:149" ht="21.75" thickBot="1" x14ac:dyDescent="0.4">
      <c r="A56" s="86" t="s">
        <v>101</v>
      </c>
      <c r="B56" s="87">
        <v>1</v>
      </c>
      <c r="O56" s="3">
        <v>54</v>
      </c>
      <c r="P56" s="21">
        <f t="shared" si="122"/>
        <v>450507.28597265156</v>
      </c>
      <c r="Q56" s="21">
        <f t="shared" si="123"/>
        <v>419815.18888336571</v>
      </c>
      <c r="R56" s="13">
        <f t="shared" si="240"/>
        <v>692036.07674277271</v>
      </c>
      <c r="S56" s="13">
        <f t="shared" si="224"/>
        <v>512672.93525424774</v>
      </c>
      <c r="T56" s="13">
        <f t="shared" si="225"/>
        <v>399270.08368848875</v>
      </c>
      <c r="U56" s="13">
        <f t="shared" si="226"/>
        <v>326894.69658719643</v>
      </c>
      <c r="V56" s="13">
        <f t="shared" si="227"/>
        <v>267638.74144062598</v>
      </c>
      <c r="W56" s="13">
        <f t="shared" si="228"/>
        <v>167223.91480948008</v>
      </c>
      <c r="X56" s="13">
        <f t="shared" si="229"/>
        <v>79736.303244356561</v>
      </c>
      <c r="Y56" s="13">
        <f t="shared" si="230"/>
        <v>38020.148422564525</v>
      </c>
      <c r="Z56" s="13">
        <f t="shared" si="231"/>
        <v>18128.902759192712</v>
      </c>
      <c r="AA56" s="13">
        <f t="shared" si="232"/>
        <v>8644.288080431832</v>
      </c>
      <c r="AB56" s="13">
        <f t="shared" si="233"/>
        <v>4121.8002871235631</v>
      </c>
      <c r="AC56" s="13">
        <f t="shared" si="234"/>
        <v>4588.3378828326731</v>
      </c>
      <c r="AD56" s="13">
        <f t="shared" si="235"/>
        <v>47617256.749093361</v>
      </c>
      <c r="AE56" s="13">
        <f t="shared" si="236"/>
        <v>32978657.428614933</v>
      </c>
      <c r="AF56" s="13">
        <f t="shared" si="237"/>
        <v>18515688.276087694</v>
      </c>
      <c r="AG56" s="13">
        <f t="shared" si="238"/>
        <v>15466792.394411745</v>
      </c>
      <c r="AH56" s="21">
        <f t="shared" si="137"/>
        <v>0</v>
      </c>
      <c r="AI56" s="21">
        <f t="shared" si="138"/>
        <v>1538.0188057627433</v>
      </c>
      <c r="AJ56" s="21">
        <f t="shared" si="139"/>
        <v>19753.362035114711</v>
      </c>
      <c r="AK56" s="21">
        <f t="shared" si="140"/>
        <v>89397.097024582748</v>
      </c>
      <c r="AL56" s="21">
        <f t="shared" si="141"/>
        <v>154751.53755087988</v>
      </c>
      <c r="AM56" s="21">
        <f t="shared" si="142"/>
        <v>135486.57603037558</v>
      </c>
      <c r="AN56" s="21">
        <f t="shared" si="143"/>
        <v>74691.932902266213</v>
      </c>
      <c r="AO56" s="21">
        <f t="shared" si="144"/>
        <v>37429.835591793126</v>
      </c>
      <c r="AP56" s="21">
        <f t="shared" si="145"/>
        <v>18030.625023182351</v>
      </c>
      <c r="AQ56" s="21">
        <f t="shared" si="146"/>
        <v>8618.3552161905372</v>
      </c>
      <c r="AR56" s="21">
        <f t="shared" si="147"/>
        <v>4121.8002871235631</v>
      </c>
      <c r="AS56" s="21">
        <f t="shared" si="148"/>
        <v>4588.3378828326731</v>
      </c>
      <c r="AT56" s="21">
        <f t="shared" si="149"/>
        <v>0</v>
      </c>
      <c r="AU56" s="21">
        <f t="shared" si="150"/>
        <v>16489328.714307467</v>
      </c>
      <c r="AV56" s="21">
        <f t="shared" si="151"/>
        <v>18515688.276087694</v>
      </c>
      <c r="AW56" s="21">
        <f t="shared" si="152"/>
        <v>15466792.394411745</v>
      </c>
      <c r="AX56" s="13">
        <f t="shared" si="100"/>
        <v>0.2</v>
      </c>
      <c r="AY56" s="13">
        <f t="shared" si="124"/>
        <v>0.6</v>
      </c>
      <c r="AZ56" s="13">
        <f t="shared" si="125"/>
        <v>1.2658</v>
      </c>
      <c r="BA56" s="13">
        <f t="shared" si="126"/>
        <v>2.1566490279820543</v>
      </c>
      <c r="BB56" s="13">
        <f t="shared" si="127"/>
        <v>3.319088001429551</v>
      </c>
      <c r="BC56" s="13">
        <f t="shared" si="128"/>
        <v>4.8257420926386247</v>
      </c>
      <c r="BD56" s="13">
        <f t="shared" si="129"/>
        <v>6.7428471026231929</v>
      </c>
      <c r="BE56" s="13">
        <f t="shared" si="130"/>
        <v>9.1478573506831662</v>
      </c>
      <c r="BF56" s="13">
        <f t="shared" si="131"/>
        <v>11.10201712746311</v>
      </c>
      <c r="BG56" s="13">
        <f t="shared" si="132"/>
        <v>13.304611480498808</v>
      </c>
      <c r="BH56" s="13">
        <f t="shared" si="133"/>
        <v>15.187941244166119</v>
      </c>
      <c r="BI56" s="13">
        <f t="shared" si="134"/>
        <v>16.898472490024979</v>
      </c>
      <c r="BJ56" s="13">
        <f t="shared" si="153"/>
        <v>4.0000000000000001E-3</v>
      </c>
      <c r="BK56" s="13">
        <f t="shared" si="154"/>
        <v>0.01</v>
      </c>
      <c r="BL56" s="13">
        <f t="shared" si="155"/>
        <v>0.02</v>
      </c>
      <c r="BM56" s="13">
        <f t="shared" si="156"/>
        <v>0.03</v>
      </c>
      <c r="BN56" s="30">
        <f t="shared" si="102"/>
        <v>4693566.6390723167</v>
      </c>
      <c r="BO56" s="30">
        <f t="shared" si="103"/>
        <v>1354573.1386366289</v>
      </c>
      <c r="BP56" s="30">
        <f t="shared" si="104"/>
        <v>2687198.8414353631</v>
      </c>
      <c r="BQ56" s="30">
        <f t="shared" si="105"/>
        <v>999210.82449718076</v>
      </c>
      <c r="BR56" s="36">
        <f t="shared" si="157"/>
        <v>0.3</v>
      </c>
      <c r="BS56" s="36">
        <f t="shared" si="158"/>
        <v>0.25</v>
      </c>
      <c r="BT56" s="36">
        <f t="shared" si="159"/>
        <v>0.2</v>
      </c>
      <c r="BU56" s="36">
        <f t="shared" si="160"/>
        <v>0.2</v>
      </c>
      <c r="BV56" s="36">
        <f t="shared" si="161"/>
        <v>0.2</v>
      </c>
      <c r="BW56" s="36">
        <f t="shared" si="162"/>
        <v>0.2</v>
      </c>
      <c r="BX56" s="36">
        <f t="shared" si="163"/>
        <v>0.2</v>
      </c>
      <c r="BY56" s="36">
        <f t="shared" si="164"/>
        <v>0.2</v>
      </c>
      <c r="BZ56" s="36">
        <f t="shared" si="165"/>
        <v>0.2</v>
      </c>
      <c r="CA56" s="36">
        <f t="shared" si="166"/>
        <v>0.2</v>
      </c>
      <c r="CB56" s="36">
        <f t="shared" si="167"/>
        <v>0.2</v>
      </c>
      <c r="CC56" s="36">
        <f t="shared" si="168"/>
        <v>0.2</v>
      </c>
      <c r="CD56" s="35">
        <f t="shared" si="169"/>
        <v>0.36733462374639014</v>
      </c>
      <c r="CE56" s="35">
        <f t="shared" si="170"/>
        <v>0.36733462374639014</v>
      </c>
      <c r="CF56" s="35">
        <f t="shared" si="171"/>
        <v>0.36733462374639014</v>
      </c>
      <c r="CG56" s="35">
        <f t="shared" si="172"/>
        <v>0.36733462374639014</v>
      </c>
      <c r="CH56" s="28">
        <f t="shared" si="173"/>
        <v>0</v>
      </c>
      <c r="CI56" s="28">
        <f t="shared" si="174"/>
        <v>0</v>
      </c>
      <c r="CJ56" s="28">
        <f t="shared" si="175"/>
        <v>15770.613938315992</v>
      </c>
      <c r="CK56" s="28">
        <f t="shared" si="176"/>
        <v>23888.724377097224</v>
      </c>
      <c r="CL56" s="28">
        <f t="shared" si="177"/>
        <v>32524.841969569592</v>
      </c>
      <c r="CM56" s="28">
        <f t="shared" si="178"/>
        <v>31774.254026117986</v>
      </c>
      <c r="CN56" s="28">
        <f t="shared" si="179"/>
        <v>22669.837921043109</v>
      </c>
      <c r="CO56" s="28">
        <f t="shared" si="180"/>
        <v>15649.069234620678</v>
      </c>
      <c r="CP56" s="28">
        <f t="shared" si="181"/>
        <v>9597.6668889031353</v>
      </c>
      <c r="CQ56" s="28">
        <f t="shared" si="182"/>
        <v>5787.4687388531129</v>
      </c>
      <c r="CR56" s="28">
        <f t="shared" si="183"/>
        <v>3303.6966400183583</v>
      </c>
      <c r="CS56" s="28">
        <f t="shared" si="184"/>
        <v>4270.9588123492094</v>
      </c>
      <c r="CT56" s="44">
        <f t="shared" si="106"/>
        <v>0</v>
      </c>
      <c r="CU56" s="44">
        <f t="shared" si="107"/>
        <v>0</v>
      </c>
      <c r="CV56" s="44">
        <f t="shared" si="108"/>
        <v>3.9498611547917159E-2</v>
      </c>
      <c r="CW56" s="44">
        <f t="shared" si="109"/>
        <v>7.30777361226633E-2</v>
      </c>
      <c r="CX56" s="44">
        <f t="shared" si="110"/>
        <v>0.12152516408684813</v>
      </c>
      <c r="CY56" s="44">
        <f t="shared" si="111"/>
        <v>0.19001022707977336</v>
      </c>
      <c r="CZ56" s="44">
        <f t="shared" si="112"/>
        <v>0.28431011971510728</v>
      </c>
      <c r="DA56" s="44">
        <f t="shared" si="113"/>
        <v>0.41159937254040635</v>
      </c>
      <c r="DB56" s="44">
        <f t="shared" si="114"/>
        <v>0.52941245349426347</v>
      </c>
      <c r="DC56" s="44">
        <f t="shared" si="115"/>
        <v>0.66951363547846909</v>
      </c>
      <c r="DD56" s="44">
        <f t="shared" si="116"/>
        <v>0.80151788293553494</v>
      </c>
      <c r="DE56" s="44">
        <f t="shared" si="117"/>
        <v>0.93082918508008272</v>
      </c>
      <c r="DF56" s="21">
        <f t="shared" si="185"/>
        <v>0</v>
      </c>
      <c r="DG56" s="21">
        <f t="shared" si="186"/>
        <v>0</v>
      </c>
      <c r="DH56" s="21">
        <f t="shared" si="187"/>
        <v>0</v>
      </c>
      <c r="DI56" s="21">
        <f t="shared" si="188"/>
        <v>0</v>
      </c>
      <c r="DJ56" s="21">
        <f t="shared" si="189"/>
        <v>57712.767149849496</v>
      </c>
      <c r="DK56" s="21">
        <f t="shared" si="190"/>
        <v>63861.746527536408</v>
      </c>
      <c r="DL56" s="21">
        <f t="shared" si="191"/>
        <v>30450.785658470915</v>
      </c>
      <c r="DM56" s="21">
        <f t="shared" si="192"/>
        <v>14519.652193691389</v>
      </c>
      <c r="DN56" s="21">
        <f t="shared" si="193"/>
        <v>6923.3123393203023</v>
      </c>
      <c r="DO56" s="21">
        <f t="shared" si="194"/>
        <v>3301.1984854707298</v>
      </c>
      <c r="DP56" s="21">
        <f t="shared" si="195"/>
        <v>1574.089241202774</v>
      </c>
      <c r="DQ56" s="21">
        <f t="shared" si="196"/>
        <v>1752.2569734717256</v>
      </c>
      <c r="DR56" s="21">
        <f t="shared" si="197"/>
        <v>0</v>
      </c>
      <c r="DS56" s="21">
        <f t="shared" si="198"/>
        <v>5259294.9035612186</v>
      </c>
      <c r="DT56" s="21">
        <f t="shared" si="199"/>
        <v>5380534.1411259659</v>
      </c>
      <c r="DU56" s="21">
        <f t="shared" si="200"/>
        <v>4494545.5600111159</v>
      </c>
      <c r="DV56" s="13">
        <f t="shared" si="201"/>
        <v>0</v>
      </c>
      <c r="DW56" s="13">
        <f t="shared" si="202"/>
        <v>0</v>
      </c>
      <c r="DX56" s="13">
        <f t="shared" si="203"/>
        <v>0</v>
      </c>
      <c r="DY56" s="13">
        <f t="shared" si="204"/>
        <v>0</v>
      </c>
      <c r="DZ56" s="13">
        <f t="shared" si="205"/>
        <v>191553.752976363</v>
      </c>
      <c r="EA56" s="13">
        <f t="shared" si="206"/>
        <v>308180.31832735095</v>
      </c>
      <c r="EB56" s="13">
        <f t="shared" si="207"/>
        <v>205324.99184982048</v>
      </c>
      <c r="EC56" s="13">
        <f t="shared" si="208"/>
        <v>132823.70704942272</v>
      </c>
      <c r="ED56" s="13">
        <f t="shared" si="209"/>
        <v>76862.732169910683</v>
      </c>
      <c r="EE56" s="13">
        <f t="shared" si="210"/>
        <v>43921.163269199147</v>
      </c>
      <c r="EF56" s="13">
        <f t="shared" si="211"/>
        <v>23907.174908461762</v>
      </c>
      <c r="EG56" s="13">
        <f t="shared" si="212"/>
        <v>29610.466261666385</v>
      </c>
      <c r="EH56" s="13">
        <f t="shared" si="213"/>
        <v>0</v>
      </c>
      <c r="EI56" s="13">
        <f t="shared" si="214"/>
        <v>52592.94903561219</v>
      </c>
      <c r="EJ56" s="13">
        <f t="shared" si="215"/>
        <v>107610.68282251932</v>
      </c>
      <c r="EK56" s="13">
        <f t="shared" si="216"/>
        <v>134836.36680033346</v>
      </c>
      <c r="EL56" s="21">
        <f t="shared" si="120"/>
        <v>1012184.3068121951</v>
      </c>
      <c r="EM56" s="21">
        <f t="shared" si="121"/>
        <v>295039.99865846499</v>
      </c>
      <c r="EN56" s="21">
        <f t="shared" si="217"/>
        <v>15182764602.182926</v>
      </c>
      <c r="EO56" s="21">
        <f t="shared" si="218"/>
        <v>6638399969.8154621</v>
      </c>
      <c r="EP56" s="21">
        <f t="shared" si="219"/>
        <v>12930228172.319668</v>
      </c>
      <c r="EQ56" s="21">
        <f t="shared" si="220"/>
        <v>4539324025.398634</v>
      </c>
      <c r="ER56" s="21">
        <f t="shared" si="221"/>
        <v>913536305.52252567</v>
      </c>
      <c r="ES56" s="21">
        <f t="shared" si="222"/>
        <v>320708748.86876571</v>
      </c>
    </row>
    <row r="57" spans="1:149" ht="15.75" thickBot="1" x14ac:dyDescent="0.3">
      <c r="A57" s="64" t="s">
        <v>102</v>
      </c>
      <c r="B57" s="80">
        <v>3</v>
      </c>
      <c r="C57" s="80">
        <v>4</v>
      </c>
      <c r="D57" s="80">
        <v>5</v>
      </c>
      <c r="E57" s="80">
        <v>6</v>
      </c>
      <c r="F57" s="80">
        <v>7</v>
      </c>
      <c r="G57" s="80">
        <v>8</v>
      </c>
      <c r="H57" s="80">
        <v>9</v>
      </c>
      <c r="I57" s="80">
        <v>10</v>
      </c>
      <c r="J57" s="80">
        <v>11</v>
      </c>
      <c r="K57" s="80">
        <v>12</v>
      </c>
      <c r="L57" s="80">
        <v>13</v>
      </c>
      <c r="M57" s="65">
        <v>14</v>
      </c>
      <c r="O57" s="3">
        <v>55</v>
      </c>
      <c r="P57" s="21">
        <f t="shared" si="122"/>
        <v>450507.28597265156</v>
      </c>
      <c r="Q57" s="21">
        <f t="shared" si="123"/>
        <v>419815.18888336571</v>
      </c>
      <c r="R57" s="13">
        <f t="shared" si="240"/>
        <v>692036.07651496108</v>
      </c>
      <c r="S57" s="13">
        <f t="shared" si="224"/>
        <v>512672.93502013764</v>
      </c>
      <c r="T57" s="13">
        <f t="shared" si="225"/>
        <v>399270.08343552379</v>
      </c>
      <c r="U57" s="13">
        <f t="shared" si="226"/>
        <v>326894.69629978522</v>
      </c>
      <c r="V57" s="13">
        <f t="shared" si="227"/>
        <v>267638.74111403374</v>
      </c>
      <c r="W57" s="13">
        <f t="shared" si="228"/>
        <v>167223.91452626989</v>
      </c>
      <c r="X57" s="13">
        <f t="shared" si="229"/>
        <v>79736.303056975477</v>
      </c>
      <c r="Y57" s="13">
        <f t="shared" si="230"/>
        <v>38020.148298636035</v>
      </c>
      <c r="Z57" s="13">
        <f t="shared" si="231"/>
        <v>18128.902677267841</v>
      </c>
      <c r="AA57" s="13">
        <f t="shared" si="232"/>
        <v>8644.2880262929975</v>
      </c>
      <c r="AB57" s="13">
        <f t="shared" si="233"/>
        <v>4121.8002513480105</v>
      </c>
      <c r="AC57" s="13">
        <f t="shared" si="234"/>
        <v>4588.3377973661136</v>
      </c>
      <c r="AD57" s="13">
        <f t="shared" si="235"/>
        <v>47617256.759433366</v>
      </c>
      <c r="AE57" s="13">
        <f t="shared" si="236"/>
        <v>32978657.457851153</v>
      </c>
      <c r="AF57" s="13">
        <f t="shared" si="237"/>
        <v>18515688.309694637</v>
      </c>
      <c r="AG57" s="13">
        <f t="shared" si="238"/>
        <v>15466792.47653673</v>
      </c>
      <c r="AH57" s="21">
        <f t="shared" si="137"/>
        <v>0</v>
      </c>
      <c r="AI57" s="21">
        <f t="shared" si="138"/>
        <v>1538.0188050604129</v>
      </c>
      <c r="AJ57" s="21">
        <f t="shared" si="139"/>
        <v>19753.362022599602</v>
      </c>
      <c r="AK57" s="21">
        <f t="shared" si="140"/>
        <v>89397.096945983358</v>
      </c>
      <c r="AL57" s="21">
        <f t="shared" si="141"/>
        <v>154751.53736204081</v>
      </c>
      <c r="AM57" s="21">
        <f t="shared" si="142"/>
        <v>135486.57580091571</v>
      </c>
      <c r="AN57" s="21">
        <f t="shared" si="143"/>
        <v>74691.932726739455</v>
      </c>
      <c r="AO57" s="21">
        <f t="shared" si="144"/>
        <v>37429.835469788792</v>
      </c>
      <c r="AP57" s="21">
        <f t="shared" si="145"/>
        <v>18030.624941701597</v>
      </c>
      <c r="AQ57" s="21">
        <f t="shared" si="146"/>
        <v>8618.3551622141204</v>
      </c>
      <c r="AR57" s="21">
        <f t="shared" si="147"/>
        <v>4121.8002513480105</v>
      </c>
      <c r="AS57" s="21">
        <f t="shared" si="148"/>
        <v>4588.3377973661136</v>
      </c>
      <c r="AT57" s="21">
        <f t="shared" si="149"/>
        <v>0</v>
      </c>
      <c r="AU57" s="21">
        <f t="shared" si="150"/>
        <v>16489328.728925576</v>
      </c>
      <c r="AV57" s="21">
        <f t="shared" si="151"/>
        <v>18515688.309694637</v>
      </c>
      <c r="AW57" s="21">
        <f t="shared" si="152"/>
        <v>15466792.47653673</v>
      </c>
      <c r="AX57" s="13">
        <f t="shared" si="100"/>
        <v>0.2</v>
      </c>
      <c r="AY57" s="13">
        <f t="shared" si="124"/>
        <v>0.6</v>
      </c>
      <c r="AZ57" s="13">
        <f t="shared" si="125"/>
        <v>1.2658</v>
      </c>
      <c r="BA57" s="13">
        <f t="shared" si="126"/>
        <v>2.156649028083542</v>
      </c>
      <c r="BB57" s="13">
        <f t="shared" si="127"/>
        <v>3.3190880017393321</v>
      </c>
      <c r="BC57" s="13">
        <f t="shared" si="128"/>
        <v>4.825742093318186</v>
      </c>
      <c r="BD57" s="13">
        <f t="shared" si="129"/>
        <v>6.7428471039077138</v>
      </c>
      <c r="BE57" s="13">
        <f t="shared" si="130"/>
        <v>9.1478573529035376</v>
      </c>
      <c r="BF57" s="13">
        <f t="shared" si="131"/>
        <v>11.102017131072309</v>
      </c>
      <c r="BG57" s="13">
        <f t="shared" si="132"/>
        <v>13.304611486186102</v>
      </c>
      <c r="BH57" s="13">
        <f t="shared" si="133"/>
        <v>15.187941252916271</v>
      </c>
      <c r="BI57" s="13">
        <f t="shared" si="134"/>
        <v>16.898472503193556</v>
      </c>
      <c r="BJ57" s="13">
        <f t="shared" si="153"/>
        <v>4.0000000000000001E-3</v>
      </c>
      <c r="BK57" s="13">
        <f t="shared" si="154"/>
        <v>0.01</v>
      </c>
      <c r="BL57" s="13">
        <f t="shared" si="155"/>
        <v>0.02</v>
      </c>
      <c r="BM57" s="13">
        <f t="shared" si="156"/>
        <v>0.03</v>
      </c>
      <c r="BN57" s="30">
        <f t="shared" si="102"/>
        <v>4693566.6301085977</v>
      </c>
      <c r="BO57" s="30">
        <f t="shared" si="103"/>
        <v>1354573.1421062397</v>
      </c>
      <c r="BP57" s="30">
        <f t="shared" si="104"/>
        <v>2687198.8341442402</v>
      </c>
      <c r="BQ57" s="30">
        <f t="shared" si="105"/>
        <v>999210.82777925045</v>
      </c>
      <c r="BR57" s="36">
        <f t="shared" si="157"/>
        <v>0.3</v>
      </c>
      <c r="BS57" s="36">
        <f t="shared" si="158"/>
        <v>0.25</v>
      </c>
      <c r="BT57" s="36">
        <f t="shared" si="159"/>
        <v>0.2</v>
      </c>
      <c r="BU57" s="36">
        <f t="shared" si="160"/>
        <v>0.2</v>
      </c>
      <c r="BV57" s="36">
        <f t="shared" si="161"/>
        <v>0.2</v>
      </c>
      <c r="BW57" s="36">
        <f t="shared" si="162"/>
        <v>0.2</v>
      </c>
      <c r="BX57" s="36">
        <f t="shared" si="163"/>
        <v>0.2</v>
      </c>
      <c r="BY57" s="36">
        <f t="shared" si="164"/>
        <v>0.2</v>
      </c>
      <c r="BZ57" s="36">
        <f t="shared" si="165"/>
        <v>0.2</v>
      </c>
      <c r="CA57" s="36">
        <f t="shared" si="166"/>
        <v>0.2</v>
      </c>
      <c r="CB57" s="36">
        <f t="shared" si="167"/>
        <v>0.2</v>
      </c>
      <c r="CC57" s="36">
        <f t="shared" si="168"/>
        <v>0.2</v>
      </c>
      <c r="CD57" s="35">
        <f t="shared" si="169"/>
        <v>0.36733462332447292</v>
      </c>
      <c r="CE57" s="35">
        <f t="shared" si="170"/>
        <v>0.36733462332447292</v>
      </c>
      <c r="CF57" s="35">
        <f t="shared" si="171"/>
        <v>0.36733462332447292</v>
      </c>
      <c r="CG57" s="35">
        <f t="shared" si="172"/>
        <v>0.36733462332447292</v>
      </c>
      <c r="CH57" s="28">
        <f t="shared" si="173"/>
        <v>0</v>
      </c>
      <c r="CI57" s="28">
        <f t="shared" si="174"/>
        <v>0</v>
      </c>
      <c r="CJ57" s="28">
        <f t="shared" si="175"/>
        <v>15770.613970052062</v>
      </c>
      <c r="CK57" s="28">
        <f t="shared" si="176"/>
        <v>23888.724419301598</v>
      </c>
      <c r="CL57" s="28">
        <f t="shared" si="177"/>
        <v>32524.842015938662</v>
      </c>
      <c r="CM57" s="28">
        <f t="shared" si="178"/>
        <v>31774.254056377402</v>
      </c>
      <c r="CN57" s="28">
        <f t="shared" si="179"/>
        <v>22669.837927751425</v>
      </c>
      <c r="CO57" s="28">
        <f t="shared" si="180"/>
        <v>15649.069225018033</v>
      </c>
      <c r="CP57" s="28">
        <f t="shared" si="181"/>
        <v>9597.666870925781</v>
      </c>
      <c r="CQ57" s="28">
        <f t="shared" si="182"/>
        <v>5787.4687179196235</v>
      </c>
      <c r="CR57" s="28">
        <f t="shared" si="183"/>
        <v>3303.6966200849411</v>
      </c>
      <c r="CS57" s="28">
        <f t="shared" si="184"/>
        <v>4270.9587440950718</v>
      </c>
      <c r="CT57" s="44">
        <f t="shared" si="106"/>
        <v>0</v>
      </c>
      <c r="CU57" s="44">
        <f t="shared" si="107"/>
        <v>0</v>
      </c>
      <c r="CV57" s="44">
        <f t="shared" si="108"/>
        <v>3.9498611652427455E-2</v>
      </c>
      <c r="CW57" s="44">
        <f t="shared" si="109"/>
        <v>7.3077736316021394E-2</v>
      </c>
      <c r="CX57" s="44">
        <f t="shared" si="110"/>
        <v>0.12152516440839442</v>
      </c>
      <c r="CY57" s="44">
        <f t="shared" si="111"/>
        <v>0.19001022758252592</v>
      </c>
      <c r="CZ57" s="44">
        <f t="shared" si="112"/>
        <v>0.28431012046737003</v>
      </c>
      <c r="DA57" s="44">
        <f t="shared" si="113"/>
        <v>0.41159937362946686</v>
      </c>
      <c r="DB57" s="44">
        <f t="shared" si="114"/>
        <v>0.52941245489504829</v>
      </c>
      <c r="DC57" s="44">
        <f t="shared" si="115"/>
        <v>0.66951363724995083</v>
      </c>
      <c r="DD57" s="44">
        <f t="shared" si="116"/>
        <v>0.80151788505628974</v>
      </c>
      <c r="DE57" s="44">
        <f t="shared" si="117"/>
        <v>0.9308291875429856</v>
      </c>
      <c r="DF57" s="21">
        <f t="shared" si="185"/>
        <v>0</v>
      </c>
      <c r="DG57" s="21">
        <f t="shared" si="186"/>
        <v>0</v>
      </c>
      <c r="DH57" s="21">
        <f t="shared" si="187"/>
        <v>0</v>
      </c>
      <c r="DI57" s="21">
        <f t="shared" si="188"/>
        <v>0</v>
      </c>
      <c r="DJ57" s="21">
        <f t="shared" si="189"/>
        <v>57712.767079424186</v>
      </c>
      <c r="DK57" s="21">
        <f t="shared" si="190"/>
        <v>63861.746419380244</v>
      </c>
      <c r="DL57" s="21">
        <f t="shared" si="191"/>
        <v>30450.785586911275</v>
      </c>
      <c r="DM57" s="21">
        <f t="shared" si="192"/>
        <v>14519.652146363887</v>
      </c>
      <c r="DN57" s="21">
        <f t="shared" si="193"/>
        <v>6923.3123080337173</v>
      </c>
      <c r="DO57" s="21">
        <f t="shared" si="194"/>
        <v>3301.1984647954541</v>
      </c>
      <c r="DP57" s="21">
        <f t="shared" si="195"/>
        <v>1574.0892275403187</v>
      </c>
      <c r="DQ57" s="21">
        <f t="shared" si="196"/>
        <v>1752.2569408325915</v>
      </c>
      <c r="DR57" s="21">
        <f t="shared" si="197"/>
        <v>0</v>
      </c>
      <c r="DS57" s="21">
        <f t="shared" si="198"/>
        <v>5259294.9092270257</v>
      </c>
      <c r="DT57" s="21">
        <f t="shared" si="199"/>
        <v>5380534.1518795891</v>
      </c>
      <c r="DU57" s="21">
        <f t="shared" si="200"/>
        <v>4494545.5847011199</v>
      </c>
      <c r="DV57" s="13">
        <f t="shared" si="201"/>
        <v>0</v>
      </c>
      <c r="DW57" s="13">
        <f t="shared" si="202"/>
        <v>0</v>
      </c>
      <c r="DX57" s="13">
        <f t="shared" si="203"/>
        <v>0</v>
      </c>
      <c r="DY57" s="13">
        <f t="shared" si="204"/>
        <v>0</v>
      </c>
      <c r="DZ57" s="13">
        <f t="shared" si="205"/>
        <v>191553.75276049352</v>
      </c>
      <c r="EA57" s="13">
        <f t="shared" si="206"/>
        <v>308180.31784881518</v>
      </c>
      <c r="EB57" s="13">
        <f t="shared" si="207"/>
        <v>205324.99140641946</v>
      </c>
      <c r="EC57" s="13">
        <f t="shared" si="208"/>
        <v>132823.70664871653</v>
      </c>
      <c r="ED57" s="13">
        <f t="shared" si="209"/>
        <v>76862.731847554096</v>
      </c>
      <c r="EE57" s="13">
        <f t="shared" si="210"/>
        <v>43921.16301289753</v>
      </c>
      <c r="EF57" s="13">
        <f t="shared" si="211"/>
        <v>23907.174714730714</v>
      </c>
      <c r="EG57" s="13">
        <f t="shared" si="212"/>
        <v>29610.465733189605</v>
      </c>
      <c r="EH57" s="13">
        <f t="shared" si="213"/>
        <v>0</v>
      </c>
      <c r="EI57" s="13">
        <f t="shared" si="214"/>
        <v>52592.949092270261</v>
      </c>
      <c r="EJ57" s="13">
        <f t="shared" si="215"/>
        <v>107610.68303759178</v>
      </c>
      <c r="EK57" s="13">
        <f t="shared" si="216"/>
        <v>134836.3675410336</v>
      </c>
      <c r="EL57" s="21">
        <f t="shared" si="120"/>
        <v>1012184.3039728164</v>
      </c>
      <c r="EM57" s="21">
        <f t="shared" si="121"/>
        <v>295039.99967089563</v>
      </c>
      <c r="EN57" s="21">
        <f t="shared" si="217"/>
        <v>15182764559.592247</v>
      </c>
      <c r="EO57" s="21">
        <f t="shared" si="218"/>
        <v>6638399992.5951519</v>
      </c>
      <c r="EP57" s="21">
        <f t="shared" si="219"/>
        <v>12930228129.728989</v>
      </c>
      <c r="EQ57" s="21">
        <f t="shared" si="220"/>
        <v>4539324048.1783237</v>
      </c>
      <c r="ER57" s="21">
        <f t="shared" si="221"/>
        <v>868982611.30037224</v>
      </c>
      <c r="ES57" s="21">
        <f t="shared" si="222"/>
        <v>305067600.14970076</v>
      </c>
    </row>
    <row r="58" spans="1:149" ht="15.75" thickBot="1" x14ac:dyDescent="0.3">
      <c r="A58" s="73">
        <v>0</v>
      </c>
      <c r="B58" s="74">
        <v>0</v>
      </c>
      <c r="C58" s="74">
        <v>0</v>
      </c>
      <c r="D58" s="74">
        <f t="shared" ref="D58:M58" si="244">1*$B$49</f>
        <v>0.7</v>
      </c>
      <c r="E58" s="74">
        <f>1*$B$49</f>
        <v>0.7</v>
      </c>
      <c r="F58" s="74">
        <f t="shared" si="244"/>
        <v>0.7</v>
      </c>
      <c r="G58" s="74">
        <f t="shared" si="244"/>
        <v>0.7</v>
      </c>
      <c r="H58" s="74">
        <f>1*$B$49</f>
        <v>0.7</v>
      </c>
      <c r="I58" s="74">
        <f t="shared" si="244"/>
        <v>0.7</v>
      </c>
      <c r="J58" s="74">
        <f t="shared" si="244"/>
        <v>0.7</v>
      </c>
      <c r="K58" s="74">
        <f t="shared" si="244"/>
        <v>0.7</v>
      </c>
      <c r="L58" s="74">
        <f t="shared" si="244"/>
        <v>0.7</v>
      </c>
      <c r="M58" s="75">
        <f t="shared" si="244"/>
        <v>0.7</v>
      </c>
      <c r="O58" s="3">
        <v>56</v>
      </c>
      <c r="P58" s="21">
        <f t="shared" si="122"/>
        <v>450507.28597265156</v>
      </c>
      <c r="Q58" s="21">
        <f t="shared" si="123"/>
        <v>419815.18888336571</v>
      </c>
      <c r="R58" s="13">
        <f t="shared" si="240"/>
        <v>692036.07635071583</v>
      </c>
      <c r="S58" s="13">
        <f t="shared" si="224"/>
        <v>512672.93485137064</v>
      </c>
      <c r="T58" s="13">
        <f t="shared" si="225"/>
        <v>399270.08325319865</v>
      </c>
      <c r="U58" s="13">
        <f t="shared" si="226"/>
        <v>326894.69609267503</v>
      </c>
      <c r="V58" s="13">
        <f t="shared" si="227"/>
        <v>267638.74087872129</v>
      </c>
      <c r="W58" s="13">
        <f t="shared" si="228"/>
        <v>167223.91432221112</v>
      </c>
      <c r="X58" s="13">
        <f t="shared" si="229"/>
        <v>79736.302921934184</v>
      </c>
      <c r="Y58" s="13">
        <f t="shared" si="230"/>
        <v>38020.148209288323</v>
      </c>
      <c r="Z58" s="13">
        <f t="shared" si="231"/>
        <v>18128.902618175816</v>
      </c>
      <c r="AA58" s="13">
        <f t="shared" si="232"/>
        <v>8644.2879872292888</v>
      </c>
      <c r="AB58" s="13">
        <f t="shared" si="233"/>
        <v>4121.8002255333386</v>
      </c>
      <c r="AC58" s="13">
        <f t="shared" si="234"/>
        <v>4588.3377357781901</v>
      </c>
      <c r="AD58" s="13">
        <f t="shared" si="235"/>
        <v>47617256.766886905</v>
      </c>
      <c r="AE58" s="13">
        <f t="shared" si="236"/>
        <v>32978657.478926677</v>
      </c>
      <c r="AF58" s="13">
        <f t="shared" si="237"/>
        <v>18515688.333921239</v>
      </c>
      <c r="AG58" s="13">
        <f t="shared" si="238"/>
        <v>15466792.535736689</v>
      </c>
      <c r="AH58" s="21">
        <f t="shared" si="137"/>
        <v>0</v>
      </c>
      <c r="AI58" s="21">
        <f t="shared" si="138"/>
        <v>1538.018804554112</v>
      </c>
      <c r="AJ58" s="21">
        <f t="shared" si="139"/>
        <v>19753.362013579306</v>
      </c>
      <c r="AK58" s="21">
        <f t="shared" si="140"/>
        <v>89397.09688934416</v>
      </c>
      <c r="AL58" s="21">
        <f t="shared" si="141"/>
        <v>154751.53722598069</v>
      </c>
      <c r="AM58" s="21">
        <f t="shared" si="142"/>
        <v>135486.57563558515</v>
      </c>
      <c r="AN58" s="21">
        <f t="shared" si="143"/>
        <v>74691.9326002413</v>
      </c>
      <c r="AO58" s="21">
        <f t="shared" si="144"/>
        <v>37429.835381828321</v>
      </c>
      <c r="AP58" s="21">
        <f t="shared" si="145"/>
        <v>18030.624882929915</v>
      </c>
      <c r="AQ58" s="21">
        <f t="shared" si="146"/>
        <v>8618.3551232676018</v>
      </c>
      <c r="AR58" s="21">
        <f t="shared" si="147"/>
        <v>4121.8002255333386</v>
      </c>
      <c r="AS58" s="21">
        <f t="shared" si="148"/>
        <v>4588.3377357781901</v>
      </c>
      <c r="AT58" s="21">
        <f t="shared" si="149"/>
        <v>0</v>
      </c>
      <c r="AU58" s="21">
        <f t="shared" si="150"/>
        <v>16489328.739463339</v>
      </c>
      <c r="AV58" s="21">
        <f t="shared" si="151"/>
        <v>18515688.333921239</v>
      </c>
      <c r="AW58" s="21">
        <f t="shared" si="152"/>
        <v>15466792.535736689</v>
      </c>
      <c r="AX58" s="13">
        <f t="shared" si="100"/>
        <v>0.2</v>
      </c>
      <c r="AY58" s="13">
        <f t="shared" si="124"/>
        <v>0.6</v>
      </c>
      <c r="AZ58" s="13">
        <f t="shared" si="125"/>
        <v>1.2658</v>
      </c>
      <c r="BA58" s="13">
        <f t="shared" si="126"/>
        <v>2.156649028156699</v>
      </c>
      <c r="BB58" s="13">
        <f t="shared" si="127"/>
        <v>3.3190880019626356</v>
      </c>
      <c r="BC58" s="13">
        <f t="shared" si="128"/>
        <v>4.8257420938080333</v>
      </c>
      <c r="BD58" s="13">
        <f t="shared" si="129"/>
        <v>6.7428471048336238</v>
      </c>
      <c r="BE58" s="13">
        <f t="shared" si="130"/>
        <v>9.1478573545040085</v>
      </c>
      <c r="BF58" s="13">
        <f t="shared" si="131"/>
        <v>11.102017133673851</v>
      </c>
      <c r="BG58" s="13">
        <f t="shared" si="132"/>
        <v>13.304611490285575</v>
      </c>
      <c r="BH58" s="13">
        <f t="shared" si="133"/>
        <v>15.187941259223585</v>
      </c>
      <c r="BI58" s="13">
        <f t="shared" si="134"/>
        <v>16.898472512685974</v>
      </c>
      <c r="BJ58" s="13">
        <f t="shared" si="153"/>
        <v>4.0000000000000001E-3</v>
      </c>
      <c r="BK58" s="13">
        <f t="shared" si="154"/>
        <v>0.01</v>
      </c>
      <c r="BL58" s="13">
        <f t="shared" si="155"/>
        <v>0.02</v>
      </c>
      <c r="BM58" s="13">
        <f t="shared" si="156"/>
        <v>0.03</v>
      </c>
      <c r="BN58" s="30">
        <f t="shared" si="102"/>
        <v>4693566.6236472186</v>
      </c>
      <c r="BO58" s="30">
        <f t="shared" si="103"/>
        <v>1354573.14460734</v>
      </c>
      <c r="BP58" s="30">
        <f t="shared" si="104"/>
        <v>2687198.8288881732</v>
      </c>
      <c r="BQ58" s="30">
        <f t="shared" si="105"/>
        <v>999210.8301451588</v>
      </c>
      <c r="BR58" s="36">
        <f t="shared" si="157"/>
        <v>0.3</v>
      </c>
      <c r="BS58" s="36">
        <f t="shared" si="158"/>
        <v>0.25</v>
      </c>
      <c r="BT58" s="36">
        <f t="shared" si="159"/>
        <v>0.2</v>
      </c>
      <c r="BU58" s="36">
        <f t="shared" si="160"/>
        <v>0.2</v>
      </c>
      <c r="BV58" s="36">
        <f t="shared" si="161"/>
        <v>0.2</v>
      </c>
      <c r="BW58" s="36">
        <f t="shared" si="162"/>
        <v>0.2</v>
      </c>
      <c r="BX58" s="36">
        <f t="shared" si="163"/>
        <v>0.2</v>
      </c>
      <c r="BY58" s="36">
        <f t="shared" si="164"/>
        <v>0.2</v>
      </c>
      <c r="BZ58" s="36">
        <f t="shared" si="165"/>
        <v>0.2</v>
      </c>
      <c r="CA58" s="36">
        <f t="shared" si="166"/>
        <v>0.2</v>
      </c>
      <c r="CB58" s="36">
        <f t="shared" si="167"/>
        <v>0.2</v>
      </c>
      <c r="CC58" s="36">
        <f t="shared" si="168"/>
        <v>0.2</v>
      </c>
      <c r="CD58" s="35">
        <f t="shared" si="169"/>
        <v>0.3673346230203286</v>
      </c>
      <c r="CE58" s="35">
        <f t="shared" si="170"/>
        <v>0.3673346230203286</v>
      </c>
      <c r="CF58" s="35">
        <f t="shared" si="171"/>
        <v>0.3673346230203286</v>
      </c>
      <c r="CG58" s="35">
        <f t="shared" si="172"/>
        <v>0.3673346230203286</v>
      </c>
      <c r="CH58" s="28">
        <f t="shared" si="173"/>
        <v>0</v>
      </c>
      <c r="CI58" s="28">
        <f t="shared" si="174"/>
        <v>0</v>
      </c>
      <c r="CJ58" s="28">
        <f t="shared" si="175"/>
        <v>15770.613992930377</v>
      </c>
      <c r="CK58" s="28">
        <f t="shared" si="176"/>
        <v>23888.72444973034</v>
      </c>
      <c r="CL58" s="28">
        <f t="shared" si="177"/>
        <v>32524.842049378167</v>
      </c>
      <c r="CM58" s="28">
        <f t="shared" si="178"/>
        <v>31774.254078208411</v>
      </c>
      <c r="CN58" s="28">
        <f t="shared" si="179"/>
        <v>22669.837932596874</v>
      </c>
      <c r="CO58" s="28">
        <f t="shared" si="180"/>
        <v>15649.069218090641</v>
      </c>
      <c r="CP58" s="28">
        <f t="shared" si="181"/>
        <v>9597.6668579477264</v>
      </c>
      <c r="CQ58" s="28">
        <f t="shared" si="182"/>
        <v>5787.468702804601</v>
      </c>
      <c r="CR58" s="28">
        <f t="shared" si="183"/>
        <v>3303.6966056952879</v>
      </c>
      <c r="CS58" s="28">
        <f t="shared" si="184"/>
        <v>4270.9586949133991</v>
      </c>
      <c r="CT58" s="44">
        <f t="shared" si="106"/>
        <v>0</v>
      </c>
      <c r="CU58" s="44">
        <f t="shared" si="107"/>
        <v>0</v>
      </c>
      <c r="CV58" s="44">
        <f t="shared" si="108"/>
        <v>3.9498611727764692E-2</v>
      </c>
      <c r="CW58" s="44">
        <f t="shared" si="109"/>
        <v>7.307773645540537E-2</v>
      </c>
      <c r="CX58" s="44">
        <f t="shared" si="110"/>
        <v>0.12152516464018406</v>
      </c>
      <c r="CY58" s="44">
        <f t="shared" si="111"/>
        <v>0.19001022794493977</v>
      </c>
      <c r="CZ58" s="44">
        <f t="shared" si="112"/>
        <v>0.2843101210096457</v>
      </c>
      <c r="DA58" s="44">
        <f t="shared" si="113"/>
        <v>0.41159937441452615</v>
      </c>
      <c r="DB58" s="44">
        <f t="shared" si="114"/>
        <v>0.529412455904817</v>
      </c>
      <c r="DC58" s="44">
        <f t="shared" si="115"/>
        <v>0.66951363852694012</v>
      </c>
      <c r="DD58" s="44">
        <f t="shared" si="116"/>
        <v>0.80151788658505585</v>
      </c>
      <c r="DE58" s="44">
        <f t="shared" si="117"/>
        <v>0.93082918931839198</v>
      </c>
      <c r="DF58" s="21">
        <f t="shared" si="185"/>
        <v>0</v>
      </c>
      <c r="DG58" s="21">
        <f t="shared" si="186"/>
        <v>0</v>
      </c>
      <c r="DH58" s="21">
        <f t="shared" si="187"/>
        <v>0</v>
      </c>
      <c r="DI58" s="21">
        <f t="shared" si="188"/>
        <v>0</v>
      </c>
      <c r="DJ58" s="21">
        <f t="shared" si="189"/>
        <v>57712.767028682152</v>
      </c>
      <c r="DK58" s="21">
        <f t="shared" si="190"/>
        <v>63861.7463414515</v>
      </c>
      <c r="DL58" s="21">
        <f t="shared" si="191"/>
        <v>30450.785535339866</v>
      </c>
      <c r="DM58" s="21">
        <f t="shared" si="192"/>
        <v>14519.652112242566</v>
      </c>
      <c r="DN58" s="21">
        <f t="shared" si="193"/>
        <v>6923.31228546685</v>
      </c>
      <c r="DO58" s="21">
        <f t="shared" si="194"/>
        <v>3301.1984498772727</v>
      </c>
      <c r="DP58" s="21">
        <f t="shared" si="195"/>
        <v>1574.08921768186</v>
      </c>
      <c r="DQ58" s="21">
        <f t="shared" si="196"/>
        <v>1752.2569173125564</v>
      </c>
      <c r="DR58" s="21">
        <f t="shared" si="197"/>
        <v>0</v>
      </c>
      <c r="DS58" s="21">
        <f t="shared" si="198"/>
        <v>5259294.9133113306</v>
      </c>
      <c r="DT58" s="21">
        <f t="shared" si="199"/>
        <v>5380534.1596316546</v>
      </c>
      <c r="DU58" s="21">
        <f t="shared" si="200"/>
        <v>4494545.6024989681</v>
      </c>
      <c r="DV58" s="13">
        <f t="shared" si="201"/>
        <v>0</v>
      </c>
      <c r="DW58" s="13">
        <f t="shared" si="202"/>
        <v>0</v>
      </c>
      <c r="DX58" s="13">
        <f t="shared" si="203"/>
        <v>0</v>
      </c>
      <c r="DY58" s="13">
        <f t="shared" si="204"/>
        <v>0</v>
      </c>
      <c r="DZ58" s="13">
        <f t="shared" si="205"/>
        <v>191553.75260496372</v>
      </c>
      <c r="EA58" s="13">
        <f t="shared" si="206"/>
        <v>308180.31750403368</v>
      </c>
      <c r="EB58" s="13">
        <f t="shared" si="207"/>
        <v>205324.99108687602</v>
      </c>
      <c r="EC58" s="13">
        <f t="shared" si="208"/>
        <v>132823.70635981782</v>
      </c>
      <c r="ED58" s="13">
        <f t="shared" si="209"/>
        <v>76862.731615027631</v>
      </c>
      <c r="EE58" s="13">
        <f t="shared" si="210"/>
        <v>43921.162827950095</v>
      </c>
      <c r="EF58" s="13">
        <f t="shared" si="211"/>
        <v>23907.174574929297</v>
      </c>
      <c r="EG58" s="13">
        <f t="shared" si="212"/>
        <v>29610.465352370094</v>
      </c>
      <c r="EH58" s="13">
        <f t="shared" si="213"/>
        <v>0</v>
      </c>
      <c r="EI58" s="13">
        <f t="shared" si="214"/>
        <v>52592.94913311331</v>
      </c>
      <c r="EJ58" s="13">
        <f t="shared" si="215"/>
        <v>107610.68319263309</v>
      </c>
      <c r="EK58" s="13">
        <f t="shared" si="216"/>
        <v>134836.36807496904</v>
      </c>
      <c r="EL58" s="21">
        <f t="shared" si="120"/>
        <v>1012184.3019259684</v>
      </c>
      <c r="EM58" s="21">
        <f t="shared" si="121"/>
        <v>295040.00040071545</v>
      </c>
      <c r="EN58" s="21">
        <f t="shared" si="217"/>
        <v>15182764528.889526</v>
      </c>
      <c r="EO58" s="21">
        <f t="shared" si="218"/>
        <v>6638400009.016098</v>
      </c>
      <c r="EP58" s="21">
        <f t="shared" si="219"/>
        <v>12930228099.026268</v>
      </c>
      <c r="EQ58" s="21">
        <f t="shared" si="220"/>
        <v>4539324064.5992699</v>
      </c>
      <c r="ER58" s="21">
        <f t="shared" si="221"/>
        <v>826601827.28562152</v>
      </c>
      <c r="ES58" s="21">
        <f t="shared" si="222"/>
        <v>290189278.77396977</v>
      </c>
    </row>
    <row r="59" spans="1:149" ht="15.75" thickBot="1" x14ac:dyDescent="0.3">
      <c r="A59" s="73">
        <v>1</v>
      </c>
      <c r="B59" s="74">
        <v>0</v>
      </c>
      <c r="C59" s="74">
        <v>0</v>
      </c>
      <c r="D59" s="74">
        <f t="shared" ref="D59" si="245">1*$B$49</f>
        <v>0.7</v>
      </c>
      <c r="E59" s="74">
        <f>E58*0.9</f>
        <v>0.63</v>
      </c>
      <c r="F59" s="74">
        <f>F58*0.8</f>
        <v>0.55999999999999994</v>
      </c>
      <c r="G59" s="74">
        <f>G58*0.7</f>
        <v>0.48999999999999994</v>
      </c>
      <c r="H59" s="74">
        <f>0.6*H58</f>
        <v>0.42</v>
      </c>
      <c r="I59" s="74">
        <f>0.5*I58</f>
        <v>0.35</v>
      </c>
      <c r="J59" s="74">
        <f t="shared" ref="J59:M59" si="246">0.5*J58</f>
        <v>0.35</v>
      </c>
      <c r="K59" s="74">
        <f t="shared" si="246"/>
        <v>0.35</v>
      </c>
      <c r="L59" s="74">
        <f t="shared" si="246"/>
        <v>0.35</v>
      </c>
      <c r="M59" s="75">
        <f t="shared" si="246"/>
        <v>0.35</v>
      </c>
      <c r="O59" s="3">
        <v>57</v>
      </c>
      <c r="P59" s="21">
        <f t="shared" si="122"/>
        <v>450507.28597265156</v>
      </c>
      <c r="Q59" s="21">
        <f t="shared" si="123"/>
        <v>419815.18888336571</v>
      </c>
      <c r="R59" s="13">
        <f t="shared" si="240"/>
        <v>692036.07623229735</v>
      </c>
      <c r="S59" s="13">
        <f t="shared" si="224"/>
        <v>512672.93472969474</v>
      </c>
      <c r="T59" s="13">
        <f t="shared" si="225"/>
        <v>399270.08312176279</v>
      </c>
      <c r="U59" s="13">
        <f t="shared" si="226"/>
        <v>326894.69594339986</v>
      </c>
      <c r="V59" s="13">
        <f t="shared" si="227"/>
        <v>267638.74070915382</v>
      </c>
      <c r="W59" s="13">
        <f t="shared" si="228"/>
        <v>167223.91417518505</v>
      </c>
      <c r="X59" s="13">
        <f t="shared" si="229"/>
        <v>79736.302824634156</v>
      </c>
      <c r="Y59" s="13">
        <f t="shared" si="230"/>
        <v>38020.148144897452</v>
      </c>
      <c r="Z59" s="13">
        <f t="shared" si="231"/>
        <v>18128.902575572723</v>
      </c>
      <c r="AA59" s="13">
        <f t="shared" si="232"/>
        <v>8644.2879590528191</v>
      </c>
      <c r="AB59" s="13">
        <f t="shared" si="233"/>
        <v>4121.8002069068416</v>
      </c>
      <c r="AC59" s="13">
        <f t="shared" si="234"/>
        <v>4588.3376913773172</v>
      </c>
      <c r="AD59" s="13">
        <f t="shared" si="235"/>
        <v>47617256.772259846</v>
      </c>
      <c r="AE59" s="13">
        <f t="shared" si="236"/>
        <v>32978657.494119104</v>
      </c>
      <c r="AF59" s="13">
        <f t="shared" si="237"/>
        <v>18515688.351385422</v>
      </c>
      <c r="AG59" s="13">
        <f t="shared" si="238"/>
        <v>15466792.578411605</v>
      </c>
      <c r="AH59" s="21">
        <f t="shared" si="137"/>
        <v>0</v>
      </c>
      <c r="AI59" s="21">
        <f t="shared" si="138"/>
        <v>1538.0188041890842</v>
      </c>
      <c r="AJ59" s="21">
        <f t="shared" si="139"/>
        <v>19753.362007076688</v>
      </c>
      <c r="AK59" s="21">
        <f t="shared" si="140"/>
        <v>89397.096848521338</v>
      </c>
      <c r="AL59" s="21">
        <f t="shared" si="141"/>
        <v>154751.53712793498</v>
      </c>
      <c r="AM59" s="21">
        <f t="shared" si="142"/>
        <v>135486.57551646308</v>
      </c>
      <c r="AN59" s="21">
        <f t="shared" si="143"/>
        <v>74691.932509096776</v>
      </c>
      <c r="AO59" s="21">
        <f t="shared" si="144"/>
        <v>37429.835318437203</v>
      </c>
      <c r="AP59" s="21">
        <f t="shared" si="145"/>
        <v>18030.624840557775</v>
      </c>
      <c r="AQ59" s="21">
        <f t="shared" si="146"/>
        <v>8618.3550951756624</v>
      </c>
      <c r="AR59" s="21">
        <f t="shared" si="147"/>
        <v>4121.8002069068416</v>
      </c>
      <c r="AS59" s="21">
        <f t="shared" si="148"/>
        <v>4588.3376913773172</v>
      </c>
      <c r="AT59" s="21">
        <f t="shared" si="149"/>
        <v>0</v>
      </c>
      <c r="AU59" s="21">
        <f t="shared" si="150"/>
        <v>16489328.747059552</v>
      </c>
      <c r="AV59" s="21">
        <f t="shared" si="151"/>
        <v>18515688.351385422</v>
      </c>
      <c r="AW59" s="21">
        <f t="shared" si="152"/>
        <v>15466792.578411605</v>
      </c>
      <c r="AX59" s="13">
        <f t="shared" si="100"/>
        <v>0.2</v>
      </c>
      <c r="AY59" s="13">
        <f t="shared" si="124"/>
        <v>0.6</v>
      </c>
      <c r="AZ59" s="13">
        <f t="shared" si="125"/>
        <v>1.2658</v>
      </c>
      <c r="BA59" s="13">
        <f t="shared" si="126"/>
        <v>2.1566490282094355</v>
      </c>
      <c r="BB59" s="13">
        <f t="shared" si="127"/>
        <v>3.3190880021236047</v>
      </c>
      <c r="BC59" s="13">
        <f t="shared" si="128"/>
        <v>4.8257420941611393</v>
      </c>
      <c r="BD59" s="13">
        <f t="shared" si="129"/>
        <v>6.7428471055010535</v>
      </c>
      <c r="BE59" s="13">
        <f t="shared" si="130"/>
        <v>9.1478573556576759</v>
      </c>
      <c r="BF59" s="13">
        <f t="shared" si="131"/>
        <v>11.102017135549094</v>
      </c>
      <c r="BG59" s="13">
        <f t="shared" si="132"/>
        <v>13.304611493240538</v>
      </c>
      <c r="BH59" s="13">
        <f t="shared" si="133"/>
        <v>15.187941263770004</v>
      </c>
      <c r="BI59" s="13">
        <f t="shared" si="134"/>
        <v>16.898472519528354</v>
      </c>
      <c r="BJ59" s="13">
        <f t="shared" si="153"/>
        <v>4.0000000000000001E-3</v>
      </c>
      <c r="BK59" s="13">
        <f t="shared" si="154"/>
        <v>0.01</v>
      </c>
      <c r="BL59" s="13">
        <f t="shared" si="155"/>
        <v>0.02</v>
      </c>
      <c r="BM59" s="13">
        <f t="shared" si="156"/>
        <v>0.03</v>
      </c>
      <c r="BN59" s="30">
        <f t="shared" si="102"/>
        <v>4693566.6189898495</v>
      </c>
      <c r="BO59" s="30">
        <f t="shared" si="103"/>
        <v>1354573.1464102871</v>
      </c>
      <c r="BP59" s="30">
        <f t="shared" si="104"/>
        <v>2687198.8250994803</v>
      </c>
      <c r="BQ59" s="30">
        <f t="shared" si="105"/>
        <v>999210.83185065212</v>
      </c>
      <c r="BR59" s="36">
        <f t="shared" si="157"/>
        <v>0.3</v>
      </c>
      <c r="BS59" s="36">
        <f t="shared" si="158"/>
        <v>0.25</v>
      </c>
      <c r="BT59" s="36">
        <f t="shared" si="159"/>
        <v>0.2</v>
      </c>
      <c r="BU59" s="36">
        <f t="shared" si="160"/>
        <v>0.2</v>
      </c>
      <c r="BV59" s="36">
        <f t="shared" si="161"/>
        <v>0.2</v>
      </c>
      <c r="BW59" s="36">
        <f t="shared" si="162"/>
        <v>0.2</v>
      </c>
      <c r="BX59" s="36">
        <f t="shared" si="163"/>
        <v>0.2</v>
      </c>
      <c r="BY59" s="36">
        <f t="shared" si="164"/>
        <v>0.2</v>
      </c>
      <c r="BZ59" s="36">
        <f t="shared" si="165"/>
        <v>0.2</v>
      </c>
      <c r="CA59" s="36">
        <f t="shared" si="166"/>
        <v>0.2</v>
      </c>
      <c r="CB59" s="36">
        <f t="shared" si="167"/>
        <v>0.2</v>
      </c>
      <c r="CC59" s="36">
        <f t="shared" si="168"/>
        <v>0.2</v>
      </c>
      <c r="CD59" s="35">
        <f t="shared" si="169"/>
        <v>0.3673346228010923</v>
      </c>
      <c r="CE59" s="35">
        <f t="shared" si="170"/>
        <v>0.3673346228010923</v>
      </c>
      <c r="CF59" s="35">
        <f t="shared" si="171"/>
        <v>0.3673346228010923</v>
      </c>
      <c r="CG59" s="35">
        <f t="shared" si="172"/>
        <v>0.3673346228010923</v>
      </c>
      <c r="CH59" s="28">
        <f t="shared" si="173"/>
        <v>0</v>
      </c>
      <c r="CI59" s="28">
        <f t="shared" si="174"/>
        <v>0</v>
      </c>
      <c r="CJ59" s="28">
        <f t="shared" si="175"/>
        <v>15770.614009422219</v>
      </c>
      <c r="CK59" s="28">
        <f t="shared" si="176"/>
        <v>23888.724471666803</v>
      </c>
      <c r="CL59" s="28">
        <f t="shared" si="177"/>
        <v>32524.842073490596</v>
      </c>
      <c r="CM59" s="28">
        <f t="shared" si="178"/>
        <v>31774.254093959105</v>
      </c>
      <c r="CN59" s="28">
        <f t="shared" si="179"/>
        <v>22669.837936102769</v>
      </c>
      <c r="CO59" s="28">
        <f t="shared" si="180"/>
        <v>15649.069213103663</v>
      </c>
      <c r="CP59" s="28">
        <f t="shared" si="181"/>
        <v>9597.6668485891714</v>
      </c>
      <c r="CQ59" s="28">
        <f t="shared" si="182"/>
        <v>5787.468691897393</v>
      </c>
      <c r="CR59" s="28">
        <f t="shared" si="183"/>
        <v>3303.6965953081453</v>
      </c>
      <c r="CS59" s="28">
        <f t="shared" si="184"/>
        <v>4270.9586594560096</v>
      </c>
      <c r="CT59" s="44">
        <f t="shared" si="106"/>
        <v>0</v>
      </c>
      <c r="CU59" s="44">
        <f t="shared" si="107"/>
        <v>0</v>
      </c>
      <c r="CV59" s="44">
        <f t="shared" si="108"/>
        <v>3.9498611782072229E-2</v>
      </c>
      <c r="CW59" s="44">
        <f t="shared" si="109"/>
        <v>7.3077736555881637E-2</v>
      </c>
      <c r="CX59" s="44">
        <f t="shared" si="110"/>
        <v>0.12152516480727178</v>
      </c>
      <c r="CY59" s="44">
        <f t="shared" si="111"/>
        <v>0.19001022820618918</v>
      </c>
      <c r="CZ59" s="44">
        <f t="shared" si="112"/>
        <v>0.28431012140055018</v>
      </c>
      <c r="DA59" s="44">
        <f t="shared" si="113"/>
        <v>0.41159937498044358</v>
      </c>
      <c r="DB59" s="44">
        <f t="shared" si="114"/>
        <v>0.52941245663271841</v>
      </c>
      <c r="DC59" s="44">
        <f t="shared" si="115"/>
        <v>0.66951363944746967</v>
      </c>
      <c r="DD59" s="44">
        <f t="shared" si="116"/>
        <v>0.8015178876870811</v>
      </c>
      <c r="DE59" s="44">
        <f t="shared" si="117"/>
        <v>0.93082919059821045</v>
      </c>
      <c r="DF59" s="21">
        <f t="shared" si="185"/>
        <v>0</v>
      </c>
      <c r="DG59" s="21">
        <f t="shared" si="186"/>
        <v>0</v>
      </c>
      <c r="DH59" s="21">
        <f t="shared" si="187"/>
        <v>0</v>
      </c>
      <c r="DI59" s="21">
        <f t="shared" si="188"/>
        <v>0</v>
      </c>
      <c r="DJ59" s="21">
        <f t="shared" si="189"/>
        <v>57712.766992117169</v>
      </c>
      <c r="DK59" s="21">
        <f t="shared" si="190"/>
        <v>63861.74628530319</v>
      </c>
      <c r="DL59" s="21">
        <f t="shared" si="191"/>
        <v>30450.785498181605</v>
      </c>
      <c r="DM59" s="21">
        <f t="shared" si="192"/>
        <v>14519.652087652103</v>
      </c>
      <c r="DN59" s="21">
        <f t="shared" si="193"/>
        <v>6923.3122691969993</v>
      </c>
      <c r="DO59" s="21">
        <f t="shared" si="194"/>
        <v>3301.1984391168589</v>
      </c>
      <c r="DP59" s="21">
        <f t="shared" si="195"/>
        <v>1574.0892105685195</v>
      </c>
      <c r="DQ59" s="21">
        <f t="shared" si="196"/>
        <v>1752.2569003561464</v>
      </c>
      <c r="DR59" s="21">
        <f t="shared" si="197"/>
        <v>0</v>
      </c>
      <c r="DS59" s="21">
        <f t="shared" si="198"/>
        <v>5259294.9162555085</v>
      </c>
      <c r="DT59" s="21">
        <f t="shared" si="199"/>
        <v>5380534.1652198415</v>
      </c>
      <c r="DU59" s="21">
        <f t="shared" si="200"/>
        <v>4494545.6153287161</v>
      </c>
      <c r="DV59" s="13">
        <f t="shared" si="201"/>
        <v>0</v>
      </c>
      <c r="DW59" s="13">
        <f t="shared" si="202"/>
        <v>0</v>
      </c>
      <c r="DX59" s="13">
        <f t="shared" si="203"/>
        <v>0</v>
      </c>
      <c r="DY59" s="13">
        <f t="shared" si="204"/>
        <v>0</v>
      </c>
      <c r="DZ59" s="13">
        <f t="shared" si="205"/>
        <v>191553.7524928913</v>
      </c>
      <c r="EA59" s="13">
        <f t="shared" si="206"/>
        <v>308180.31725562637</v>
      </c>
      <c r="EB59" s="13">
        <f t="shared" si="207"/>
        <v>205324.99085664729</v>
      </c>
      <c r="EC59" s="13">
        <f t="shared" si="208"/>
        <v>132823.70615161862</v>
      </c>
      <c r="ED59" s="13">
        <f t="shared" si="209"/>
        <v>76862.731447382364</v>
      </c>
      <c r="EE59" s="13">
        <f t="shared" si="210"/>
        <v>43921.162694541883</v>
      </c>
      <c r="EF59" s="13">
        <f t="shared" si="211"/>
        <v>23907.174474048767</v>
      </c>
      <c r="EG59" s="13">
        <f t="shared" si="212"/>
        <v>29610.465077822275</v>
      </c>
      <c r="EH59" s="13">
        <f t="shared" si="213"/>
        <v>0</v>
      </c>
      <c r="EI59" s="13">
        <f t="shared" si="214"/>
        <v>52592.949162555087</v>
      </c>
      <c r="EJ59" s="13">
        <f t="shared" si="215"/>
        <v>107610.68330439684</v>
      </c>
      <c r="EK59" s="13">
        <f t="shared" si="216"/>
        <v>134836.36845986149</v>
      </c>
      <c r="EL59" s="21">
        <f t="shared" si="120"/>
        <v>1012184.3004505789</v>
      </c>
      <c r="EM59" s="21">
        <f t="shared" si="121"/>
        <v>295040.0009268134</v>
      </c>
      <c r="EN59" s="21">
        <f t="shared" si="217"/>
        <v>15182764506.758684</v>
      </c>
      <c r="EO59" s="21">
        <f t="shared" si="218"/>
        <v>6638400020.853302</v>
      </c>
      <c r="EP59" s="21">
        <f t="shared" si="219"/>
        <v>12930228076.895426</v>
      </c>
      <c r="EQ59" s="21">
        <f t="shared" si="220"/>
        <v>4539324076.4364738</v>
      </c>
      <c r="ER59" s="21">
        <f t="shared" si="221"/>
        <v>786287979.11436236</v>
      </c>
      <c r="ES59" s="21">
        <f t="shared" si="222"/>
        <v>276036581.36426163</v>
      </c>
    </row>
    <row r="60" spans="1:149" ht="15.75" thickBot="1" x14ac:dyDescent="0.3">
      <c r="O60" s="3">
        <v>58</v>
      </c>
      <c r="P60" s="21">
        <f t="shared" si="122"/>
        <v>450507.28597265156</v>
      </c>
      <c r="Q60" s="21">
        <f t="shared" si="123"/>
        <v>419815.18888336571</v>
      </c>
      <c r="R60" s="13">
        <f t="shared" si="240"/>
        <v>692036.0761469237</v>
      </c>
      <c r="S60" s="13">
        <f t="shared" si="224"/>
        <v>512672.93464196817</v>
      </c>
      <c r="T60" s="13">
        <f t="shared" si="225"/>
        <v>399270.08302700153</v>
      </c>
      <c r="U60" s="13">
        <f t="shared" si="226"/>
        <v>326894.69583578926</v>
      </c>
      <c r="V60" s="13">
        <f t="shared" si="227"/>
        <v>267638.74058693764</v>
      </c>
      <c r="W60" s="13">
        <f t="shared" si="228"/>
        <v>167223.91406923727</v>
      </c>
      <c r="X60" s="13">
        <f t="shared" si="229"/>
        <v>79736.30275452866</v>
      </c>
      <c r="Y60" s="13">
        <f t="shared" si="230"/>
        <v>38020.148098502505</v>
      </c>
      <c r="Z60" s="13">
        <f t="shared" si="231"/>
        <v>18128.902544869637</v>
      </c>
      <c r="AA60" s="13">
        <f t="shared" si="232"/>
        <v>8644.2879387386602</v>
      </c>
      <c r="AB60" s="13">
        <f t="shared" si="233"/>
        <v>4121.8001934716376</v>
      </c>
      <c r="AC60" s="13">
        <f t="shared" si="234"/>
        <v>4588.3376593579815</v>
      </c>
      <c r="AD60" s="13">
        <f t="shared" si="235"/>
        <v>47617256.776133001</v>
      </c>
      <c r="AE60" s="13">
        <f t="shared" si="236"/>
        <v>32978657.505070403</v>
      </c>
      <c r="AF60" s="13">
        <f t="shared" si="237"/>
        <v>18515688.363974437</v>
      </c>
      <c r="AG60" s="13">
        <f t="shared" si="238"/>
        <v>15466792.609174211</v>
      </c>
      <c r="AH60" s="21">
        <f t="shared" si="137"/>
        <v>0</v>
      </c>
      <c r="AI60" s="21">
        <f t="shared" si="138"/>
        <v>1538.0188039259046</v>
      </c>
      <c r="AJ60" s="21">
        <f t="shared" si="139"/>
        <v>19753.362002388498</v>
      </c>
      <c r="AK60" s="21">
        <f t="shared" si="140"/>
        <v>89397.096819092665</v>
      </c>
      <c r="AL60" s="21">
        <f t="shared" si="141"/>
        <v>154751.53705726829</v>
      </c>
      <c r="AM60" s="21">
        <f t="shared" si="142"/>
        <v>135486.57543062308</v>
      </c>
      <c r="AN60" s="21">
        <f t="shared" si="143"/>
        <v>74691.932443426384</v>
      </c>
      <c r="AO60" s="21">
        <f t="shared" si="144"/>
        <v>37429.835272762597</v>
      </c>
      <c r="AP60" s="21">
        <f t="shared" si="145"/>
        <v>18030.624810021134</v>
      </c>
      <c r="AQ60" s="21">
        <f t="shared" si="146"/>
        <v>8618.3550749224451</v>
      </c>
      <c r="AR60" s="21">
        <f t="shared" si="147"/>
        <v>4121.8001934716376</v>
      </c>
      <c r="AS60" s="21">
        <f t="shared" si="148"/>
        <v>4588.3376593579815</v>
      </c>
      <c r="AT60" s="21">
        <f t="shared" si="149"/>
        <v>0</v>
      </c>
      <c r="AU60" s="21">
        <f t="shared" si="150"/>
        <v>16489328.752535202</v>
      </c>
      <c r="AV60" s="21">
        <f t="shared" si="151"/>
        <v>18515688.363974437</v>
      </c>
      <c r="AW60" s="21">
        <f t="shared" si="152"/>
        <v>15466792.609174211</v>
      </c>
      <c r="AX60" s="13">
        <f t="shared" si="100"/>
        <v>0.2</v>
      </c>
      <c r="AY60" s="13">
        <f t="shared" si="124"/>
        <v>0.6</v>
      </c>
      <c r="AZ60" s="13">
        <f t="shared" si="125"/>
        <v>1.2658</v>
      </c>
      <c r="BA60" s="13">
        <f t="shared" si="126"/>
        <v>2.1566490282474504</v>
      </c>
      <c r="BB60" s="13">
        <f t="shared" si="127"/>
        <v>3.3190880022396412</v>
      </c>
      <c r="BC60" s="13">
        <f t="shared" si="128"/>
        <v>4.8257420944156761</v>
      </c>
      <c r="BD60" s="13">
        <f t="shared" si="129"/>
        <v>6.7428471059821717</v>
      </c>
      <c r="BE60" s="13">
        <f t="shared" si="130"/>
        <v>9.1478573564892844</v>
      </c>
      <c r="BF60" s="13">
        <f t="shared" si="131"/>
        <v>11.102017136900832</v>
      </c>
      <c r="BG60" s="13">
        <f t="shared" si="132"/>
        <v>13.304611495370546</v>
      </c>
      <c r="BH60" s="13">
        <f t="shared" si="133"/>
        <v>15.187941267047151</v>
      </c>
      <c r="BI60" s="13">
        <f t="shared" si="134"/>
        <v>16.89847252446048</v>
      </c>
      <c r="BJ60" s="13">
        <f t="shared" si="153"/>
        <v>4.0000000000000001E-3</v>
      </c>
      <c r="BK60" s="13">
        <f t="shared" si="154"/>
        <v>0.01</v>
      </c>
      <c r="BL60" s="13">
        <f t="shared" si="155"/>
        <v>0.02</v>
      </c>
      <c r="BM60" s="13">
        <f t="shared" si="156"/>
        <v>0.03</v>
      </c>
      <c r="BN60" s="30">
        <f t="shared" si="102"/>
        <v>4693566.6156328786</v>
      </c>
      <c r="BO60" s="30">
        <f t="shared" si="103"/>
        <v>1354573.147709951</v>
      </c>
      <c r="BP60" s="30">
        <f t="shared" si="104"/>
        <v>2687198.8223686614</v>
      </c>
      <c r="BQ60" s="30">
        <f t="shared" si="105"/>
        <v>999210.83308006707</v>
      </c>
      <c r="BR60" s="36">
        <f t="shared" si="157"/>
        <v>0.3</v>
      </c>
      <c r="BS60" s="36">
        <f t="shared" si="158"/>
        <v>0.25</v>
      </c>
      <c r="BT60" s="36">
        <f t="shared" si="159"/>
        <v>0.2</v>
      </c>
      <c r="BU60" s="36">
        <f t="shared" si="160"/>
        <v>0.2</v>
      </c>
      <c r="BV60" s="36">
        <f t="shared" si="161"/>
        <v>0.2</v>
      </c>
      <c r="BW60" s="36">
        <f t="shared" si="162"/>
        <v>0.2</v>
      </c>
      <c r="BX60" s="36">
        <f t="shared" si="163"/>
        <v>0.2</v>
      </c>
      <c r="BY60" s="36">
        <f t="shared" si="164"/>
        <v>0.2</v>
      </c>
      <c r="BZ60" s="36">
        <f t="shared" si="165"/>
        <v>0.2</v>
      </c>
      <c r="CA60" s="36">
        <f t="shared" si="166"/>
        <v>0.2</v>
      </c>
      <c r="CB60" s="36">
        <f t="shared" si="167"/>
        <v>0.2</v>
      </c>
      <c r="CC60" s="36">
        <f t="shared" si="168"/>
        <v>0.2</v>
      </c>
      <c r="CD60" s="35">
        <f t="shared" si="169"/>
        <v>0.36733462264306493</v>
      </c>
      <c r="CE60" s="35">
        <f t="shared" si="170"/>
        <v>0.36733462264306493</v>
      </c>
      <c r="CF60" s="35">
        <f t="shared" si="171"/>
        <v>0.36733462264306493</v>
      </c>
      <c r="CG60" s="35">
        <f t="shared" si="172"/>
        <v>0.36733462264306493</v>
      </c>
      <c r="CH60" s="28">
        <f t="shared" si="173"/>
        <v>0</v>
      </c>
      <c r="CI60" s="28">
        <f t="shared" si="174"/>
        <v>0</v>
      </c>
      <c r="CJ60" s="28">
        <f t="shared" si="175"/>
        <v>15770.614021309784</v>
      </c>
      <c r="CK60" s="28">
        <f t="shared" si="176"/>
        <v>23888.724487479358</v>
      </c>
      <c r="CL60" s="28">
        <f t="shared" si="177"/>
        <v>32524.842090874146</v>
      </c>
      <c r="CM60" s="28">
        <f t="shared" si="178"/>
        <v>31774.254105319902</v>
      </c>
      <c r="CN60" s="28">
        <f t="shared" si="179"/>
        <v>22669.837938639503</v>
      </c>
      <c r="CO60" s="28">
        <f t="shared" si="180"/>
        <v>15649.069209517571</v>
      </c>
      <c r="CP60" s="28">
        <f t="shared" si="181"/>
        <v>9597.6668418469744</v>
      </c>
      <c r="CQ60" s="28">
        <f t="shared" si="182"/>
        <v>5787.4686840328395</v>
      </c>
      <c r="CR60" s="28">
        <f t="shared" si="183"/>
        <v>3303.6965878139354</v>
      </c>
      <c r="CS60" s="28">
        <f t="shared" si="184"/>
        <v>4270.958633884492</v>
      </c>
      <c r="CT60" s="44">
        <f t="shared" si="106"/>
        <v>0</v>
      </c>
      <c r="CU60" s="44">
        <f t="shared" si="107"/>
        <v>0</v>
      </c>
      <c r="CV60" s="44">
        <f t="shared" si="108"/>
        <v>3.9498611821219928E-2</v>
      </c>
      <c r="CW60" s="44">
        <f t="shared" si="109"/>
        <v>7.307773662831013E-2</v>
      </c>
      <c r="CX60" s="44">
        <f t="shared" si="110"/>
        <v>0.12152516492771731</v>
      </c>
      <c r="CY60" s="44">
        <f t="shared" si="111"/>
        <v>0.19001022839451129</v>
      </c>
      <c r="CZ60" s="44">
        <f t="shared" si="112"/>
        <v>0.28431012168233444</v>
      </c>
      <c r="DA60" s="44">
        <f t="shared" si="113"/>
        <v>0.4115993753883862</v>
      </c>
      <c r="DB60" s="44">
        <f t="shared" si="114"/>
        <v>0.52941245715742746</v>
      </c>
      <c r="DC60" s="44">
        <f t="shared" si="115"/>
        <v>0.66951364011103542</v>
      </c>
      <c r="DD60" s="44">
        <f t="shared" si="116"/>
        <v>0.8015178884814782</v>
      </c>
      <c r="DE60" s="44">
        <f t="shared" si="117"/>
        <v>0.93082919152076993</v>
      </c>
      <c r="DF60" s="21">
        <f t="shared" si="185"/>
        <v>0</v>
      </c>
      <c r="DG60" s="21">
        <f t="shared" si="186"/>
        <v>0</v>
      </c>
      <c r="DH60" s="21">
        <f t="shared" si="187"/>
        <v>0</v>
      </c>
      <c r="DI60" s="21">
        <f t="shared" si="188"/>
        <v>0</v>
      </c>
      <c r="DJ60" s="21">
        <f t="shared" si="189"/>
        <v>57712.76696576285</v>
      </c>
      <c r="DK60" s="21">
        <f t="shared" si="190"/>
        <v>63861.746244842412</v>
      </c>
      <c r="DL60" s="21">
        <f t="shared" si="191"/>
        <v>30450.785471408766</v>
      </c>
      <c r="DM60" s="21">
        <f t="shared" si="192"/>
        <v>14519.652069934167</v>
      </c>
      <c r="DN60" s="21">
        <f t="shared" si="193"/>
        <v>6923.3122574716881</v>
      </c>
      <c r="DO60" s="21">
        <f t="shared" si="194"/>
        <v>3301.198431359011</v>
      </c>
      <c r="DP60" s="21">
        <f t="shared" si="195"/>
        <v>1574.0892054377009</v>
      </c>
      <c r="DQ60" s="21">
        <f t="shared" si="196"/>
        <v>1752.2568881281661</v>
      </c>
      <c r="DR60" s="21">
        <f t="shared" si="197"/>
        <v>0</v>
      </c>
      <c r="DS60" s="21">
        <f t="shared" si="198"/>
        <v>5259294.9183777729</v>
      </c>
      <c r="DT60" s="21">
        <f t="shared" si="199"/>
        <v>5380534.1692480557</v>
      </c>
      <c r="DU60" s="21">
        <f t="shared" si="200"/>
        <v>4494545.6245771376</v>
      </c>
      <c r="DV60" s="13">
        <f t="shared" si="201"/>
        <v>0</v>
      </c>
      <c r="DW60" s="13">
        <f t="shared" si="202"/>
        <v>0</v>
      </c>
      <c r="DX60" s="13">
        <f t="shared" si="203"/>
        <v>0</v>
      </c>
      <c r="DY60" s="13">
        <f t="shared" si="204"/>
        <v>0</v>
      </c>
      <c r="DZ60" s="13">
        <f t="shared" si="205"/>
        <v>191553.75241211578</v>
      </c>
      <c r="EA60" s="13">
        <f t="shared" si="206"/>
        <v>308180.31707662827</v>
      </c>
      <c r="EB60" s="13">
        <f t="shared" si="207"/>
        <v>205324.99069077257</v>
      </c>
      <c r="EC60" s="13">
        <f t="shared" si="208"/>
        <v>132823.70600161212</v>
      </c>
      <c r="ED60" s="13">
        <f t="shared" si="209"/>
        <v>76862.731326566267</v>
      </c>
      <c r="EE60" s="13">
        <f t="shared" si="210"/>
        <v>43921.162598358314</v>
      </c>
      <c r="EF60" s="13">
        <f t="shared" si="211"/>
        <v>23907.174401280718</v>
      </c>
      <c r="EG60" s="13">
        <f t="shared" si="212"/>
        <v>29610.464879830437</v>
      </c>
      <c r="EH60" s="13">
        <f t="shared" si="213"/>
        <v>0</v>
      </c>
      <c r="EI60" s="13">
        <f t="shared" si="214"/>
        <v>52592.949183777731</v>
      </c>
      <c r="EJ60" s="13">
        <f t="shared" si="215"/>
        <v>107610.68338496111</v>
      </c>
      <c r="EK60" s="13">
        <f t="shared" si="216"/>
        <v>134836.36873731413</v>
      </c>
      <c r="EL60" s="21">
        <f t="shared" si="120"/>
        <v>1012184.2993871645</v>
      </c>
      <c r="EM60" s="21">
        <f t="shared" si="121"/>
        <v>295040.00130605296</v>
      </c>
      <c r="EN60" s="21">
        <f t="shared" si="217"/>
        <v>15182764490.807468</v>
      </c>
      <c r="EO60" s="21">
        <f t="shared" si="218"/>
        <v>6638400029.3861914</v>
      </c>
      <c r="EP60" s="21">
        <f t="shared" si="219"/>
        <v>12930228060.94421</v>
      </c>
      <c r="EQ60" s="21">
        <f t="shared" si="220"/>
        <v>4539324084.9693623</v>
      </c>
      <c r="ER60" s="21">
        <f t="shared" si="221"/>
        <v>747940260.94209719</v>
      </c>
      <c r="ES60" s="21">
        <f t="shared" si="222"/>
        <v>262574118.92585024</v>
      </c>
    </row>
    <row r="61" spans="1:149" ht="21.75" thickBot="1" x14ac:dyDescent="0.4">
      <c r="A61" s="84" t="s">
        <v>101</v>
      </c>
      <c r="B61" s="85">
        <v>1</v>
      </c>
      <c r="O61" s="3">
        <v>59</v>
      </c>
      <c r="P61" s="21">
        <f t="shared" si="122"/>
        <v>450507.28597265156</v>
      </c>
      <c r="Q61" s="21">
        <f t="shared" si="123"/>
        <v>419815.18888336571</v>
      </c>
      <c r="R61" s="13">
        <f t="shared" si="240"/>
        <v>692036.076085379</v>
      </c>
      <c r="S61" s="13">
        <f t="shared" si="224"/>
        <v>512672.93457872182</v>
      </c>
      <c r="T61" s="13">
        <f t="shared" si="225"/>
        <v>399270.08295868</v>
      </c>
      <c r="U61" s="13">
        <f t="shared" si="226"/>
        <v>326894.69575820531</v>
      </c>
      <c r="V61" s="13">
        <f t="shared" si="227"/>
        <v>267638.74049883353</v>
      </c>
      <c r="W61" s="13">
        <f t="shared" si="228"/>
        <v>167223.91399287511</v>
      </c>
      <c r="X61" s="13">
        <f t="shared" si="229"/>
        <v>79736.302704010261</v>
      </c>
      <c r="Y61" s="13">
        <f t="shared" si="230"/>
        <v>38020.148065074551</v>
      </c>
      <c r="Z61" s="13">
        <f t="shared" si="231"/>
        <v>18128.902522747434</v>
      </c>
      <c r="AA61" s="13">
        <f t="shared" si="232"/>
        <v>8644.2879240987058</v>
      </c>
      <c r="AB61" s="13">
        <f t="shared" si="233"/>
        <v>4121.8001837853672</v>
      </c>
      <c r="AC61" s="13">
        <f t="shared" si="234"/>
        <v>4588.337636265831</v>
      </c>
      <c r="AD61" s="13">
        <f t="shared" si="235"/>
        <v>47617256.778924979</v>
      </c>
      <c r="AE61" s="13">
        <f t="shared" si="236"/>
        <v>32978657.512964394</v>
      </c>
      <c r="AF61" s="13">
        <f t="shared" si="237"/>
        <v>18515688.373048969</v>
      </c>
      <c r="AG61" s="13">
        <f t="shared" si="238"/>
        <v>15466792.63134945</v>
      </c>
      <c r="AH61" s="21">
        <f t="shared" si="137"/>
        <v>0</v>
      </c>
      <c r="AI61" s="21">
        <f t="shared" si="138"/>
        <v>1538.0188037361654</v>
      </c>
      <c r="AJ61" s="21">
        <f t="shared" si="139"/>
        <v>19753.361999008383</v>
      </c>
      <c r="AK61" s="21">
        <f t="shared" si="140"/>
        <v>89397.096797875492</v>
      </c>
      <c r="AL61" s="21">
        <f t="shared" si="141"/>
        <v>154751.53700632558</v>
      </c>
      <c r="AM61" s="21">
        <f t="shared" si="142"/>
        <v>135486.57536875363</v>
      </c>
      <c r="AN61" s="21">
        <f t="shared" si="143"/>
        <v>74691.932396103934</v>
      </c>
      <c r="AO61" s="21">
        <f t="shared" si="144"/>
        <v>37429.835239853652</v>
      </c>
      <c r="AP61" s="21">
        <f t="shared" si="145"/>
        <v>18030.624788018857</v>
      </c>
      <c r="AQ61" s="21">
        <f t="shared" si="146"/>
        <v>8618.3550603264102</v>
      </c>
      <c r="AR61" s="21">
        <f t="shared" si="147"/>
        <v>4121.8001837853672</v>
      </c>
      <c r="AS61" s="21">
        <f t="shared" si="148"/>
        <v>4588.337636265831</v>
      </c>
      <c r="AT61" s="21">
        <f t="shared" si="149"/>
        <v>0</v>
      </c>
      <c r="AU61" s="21">
        <f t="shared" si="150"/>
        <v>16489328.756482197</v>
      </c>
      <c r="AV61" s="21">
        <f t="shared" si="151"/>
        <v>18515688.373048969</v>
      </c>
      <c r="AW61" s="21">
        <f t="shared" si="152"/>
        <v>15466792.63134945</v>
      </c>
      <c r="AX61" s="13">
        <f t="shared" si="100"/>
        <v>0.2</v>
      </c>
      <c r="AY61" s="13">
        <f t="shared" si="124"/>
        <v>0.6</v>
      </c>
      <c r="AZ61" s="13">
        <f t="shared" si="125"/>
        <v>1.2658</v>
      </c>
      <c r="BA61" s="13">
        <f t="shared" si="126"/>
        <v>2.1566490282748538</v>
      </c>
      <c r="BB61" s="13">
        <f t="shared" si="127"/>
        <v>3.3190880023232858</v>
      </c>
      <c r="BC61" s="13">
        <f t="shared" si="128"/>
        <v>4.8257420945991631</v>
      </c>
      <c r="BD61" s="13">
        <f t="shared" si="129"/>
        <v>6.7428471063289868</v>
      </c>
      <c r="BE61" s="13">
        <f t="shared" si="130"/>
        <v>9.1478573570887516</v>
      </c>
      <c r="BF61" s="13">
        <f t="shared" si="131"/>
        <v>11.102017137875221</v>
      </c>
      <c r="BG61" s="13">
        <f t="shared" si="132"/>
        <v>13.304611496905933</v>
      </c>
      <c r="BH61" s="13">
        <f t="shared" si="133"/>
        <v>15.187941269409407</v>
      </c>
      <c r="BI61" s="13">
        <f t="shared" si="134"/>
        <v>16.898472528015667</v>
      </c>
      <c r="BJ61" s="13">
        <f t="shared" si="153"/>
        <v>4.0000000000000001E-3</v>
      </c>
      <c r="BK61" s="13">
        <f t="shared" si="154"/>
        <v>0.01</v>
      </c>
      <c r="BL61" s="13">
        <f t="shared" si="155"/>
        <v>0.02</v>
      </c>
      <c r="BM61" s="13">
        <f t="shared" si="156"/>
        <v>0.03</v>
      </c>
      <c r="BN61" s="30">
        <f t="shared" si="102"/>
        <v>4693566.6132131992</v>
      </c>
      <c r="BO61" s="30">
        <f t="shared" si="103"/>
        <v>1354573.1486468068</v>
      </c>
      <c r="BP61" s="30">
        <f t="shared" si="104"/>
        <v>2687198.8204003731</v>
      </c>
      <c r="BQ61" s="30">
        <f t="shared" si="105"/>
        <v>999210.83396628487</v>
      </c>
      <c r="BR61" s="36">
        <f t="shared" si="157"/>
        <v>0.3</v>
      </c>
      <c r="BS61" s="36">
        <f t="shared" si="158"/>
        <v>0.25</v>
      </c>
      <c r="BT61" s="36">
        <f t="shared" si="159"/>
        <v>0.2</v>
      </c>
      <c r="BU61" s="36">
        <f t="shared" si="160"/>
        <v>0.2</v>
      </c>
      <c r="BV61" s="36">
        <f t="shared" si="161"/>
        <v>0.2</v>
      </c>
      <c r="BW61" s="36">
        <f t="shared" si="162"/>
        <v>0.2</v>
      </c>
      <c r="BX61" s="36">
        <f t="shared" si="163"/>
        <v>0.2</v>
      </c>
      <c r="BY61" s="36">
        <f t="shared" si="164"/>
        <v>0.2</v>
      </c>
      <c r="BZ61" s="36">
        <f t="shared" si="165"/>
        <v>0.2</v>
      </c>
      <c r="CA61" s="36">
        <f t="shared" si="166"/>
        <v>0.2</v>
      </c>
      <c r="CB61" s="36">
        <f t="shared" si="167"/>
        <v>0.2</v>
      </c>
      <c r="CC61" s="36">
        <f t="shared" si="168"/>
        <v>0.2</v>
      </c>
      <c r="CD61" s="35">
        <f t="shared" si="169"/>
        <v>0.36733462252915861</v>
      </c>
      <c r="CE61" s="35">
        <f t="shared" si="170"/>
        <v>0.36733462252915861</v>
      </c>
      <c r="CF61" s="35">
        <f t="shared" si="171"/>
        <v>0.36733462252915861</v>
      </c>
      <c r="CG61" s="35">
        <f t="shared" si="172"/>
        <v>0.36733462252915861</v>
      </c>
      <c r="CH61" s="28">
        <f t="shared" si="173"/>
        <v>0</v>
      </c>
      <c r="CI61" s="28">
        <f t="shared" si="174"/>
        <v>0</v>
      </c>
      <c r="CJ61" s="28">
        <f t="shared" si="175"/>
        <v>15770.614029878292</v>
      </c>
      <c r="CK61" s="28">
        <f t="shared" si="176"/>
        <v>23888.724498876691</v>
      </c>
      <c r="CL61" s="28">
        <f t="shared" si="177"/>
        <v>32524.842103404233</v>
      </c>
      <c r="CM61" s="28">
        <f t="shared" si="178"/>
        <v>31774.254113511019</v>
      </c>
      <c r="CN61" s="28">
        <f t="shared" si="179"/>
        <v>22669.837940472786</v>
      </c>
      <c r="CO61" s="28">
        <f t="shared" si="180"/>
        <v>15649.069206938926</v>
      </c>
      <c r="CP61" s="28">
        <f t="shared" si="181"/>
        <v>9597.6668369921317</v>
      </c>
      <c r="CQ61" s="28">
        <f t="shared" si="182"/>
        <v>5787.4686783659727</v>
      </c>
      <c r="CR61" s="28">
        <f t="shared" si="183"/>
        <v>3303.6965824104991</v>
      </c>
      <c r="CS61" s="28">
        <f t="shared" si="184"/>
        <v>4270.9586154409753</v>
      </c>
      <c r="CT61" s="44">
        <f t="shared" si="106"/>
        <v>0</v>
      </c>
      <c r="CU61" s="44">
        <f t="shared" si="107"/>
        <v>0</v>
      </c>
      <c r="CV61" s="44">
        <f t="shared" si="108"/>
        <v>3.9498611849439202E-2</v>
      </c>
      <c r="CW61" s="44">
        <f t="shared" si="109"/>
        <v>7.3077736680519589E-2</v>
      </c>
      <c r="CX61" s="44">
        <f t="shared" si="110"/>
        <v>0.1215251650145394</v>
      </c>
      <c r="CY61" s="44">
        <f t="shared" si="111"/>
        <v>0.19001022853026164</v>
      </c>
      <c r="CZ61" s="44">
        <f t="shared" si="112"/>
        <v>0.28431012188545618</v>
      </c>
      <c r="DA61" s="44">
        <f t="shared" si="113"/>
        <v>0.4115993756824482</v>
      </c>
      <c r="DB61" s="44">
        <f t="shared" si="114"/>
        <v>0.52941245753565924</v>
      </c>
      <c r="DC61" s="44">
        <f t="shared" si="115"/>
        <v>0.6695136405893608</v>
      </c>
      <c r="DD61" s="44">
        <f t="shared" si="116"/>
        <v>0.80151788905411214</v>
      </c>
      <c r="DE61" s="44">
        <f t="shared" si="117"/>
        <v>0.93082919218578886</v>
      </c>
      <c r="DF61" s="21">
        <f t="shared" si="185"/>
        <v>0</v>
      </c>
      <c r="DG61" s="21">
        <f t="shared" si="186"/>
        <v>0</v>
      </c>
      <c r="DH61" s="21">
        <f t="shared" si="187"/>
        <v>0</v>
      </c>
      <c r="DI61" s="21">
        <f t="shared" si="188"/>
        <v>0</v>
      </c>
      <c r="DJ61" s="21">
        <f t="shared" si="189"/>
        <v>57712.766946764365</v>
      </c>
      <c r="DK61" s="21">
        <f t="shared" si="190"/>
        <v>63861.746215680185</v>
      </c>
      <c r="DL61" s="21">
        <f t="shared" si="191"/>
        <v>30450.78545211611</v>
      </c>
      <c r="DM61" s="21">
        <f t="shared" si="192"/>
        <v>14519.652057168247</v>
      </c>
      <c r="DN61" s="21">
        <f t="shared" si="193"/>
        <v>6923.3122490233582</v>
      </c>
      <c r="DO61" s="21">
        <f t="shared" si="194"/>
        <v>3301.1984257681061</v>
      </c>
      <c r="DP61" s="21">
        <f t="shared" si="195"/>
        <v>1574.0892017385761</v>
      </c>
      <c r="DQ61" s="21">
        <f t="shared" si="196"/>
        <v>1752.2568793094213</v>
      </c>
      <c r="DR61" s="21">
        <f t="shared" si="197"/>
        <v>0</v>
      </c>
      <c r="DS61" s="21">
        <f t="shared" si="198"/>
        <v>5259294.9199075475</v>
      </c>
      <c r="DT61" s="21">
        <f t="shared" si="199"/>
        <v>5380534.1721516978</v>
      </c>
      <c r="DU61" s="21">
        <f t="shared" si="200"/>
        <v>4494545.6312438501</v>
      </c>
      <c r="DV61" s="13">
        <f t="shared" si="201"/>
        <v>0</v>
      </c>
      <c r="DW61" s="13">
        <f t="shared" si="202"/>
        <v>0</v>
      </c>
      <c r="DX61" s="13">
        <f t="shared" si="203"/>
        <v>0</v>
      </c>
      <c r="DY61" s="13">
        <f t="shared" si="204"/>
        <v>0</v>
      </c>
      <c r="DZ61" s="13">
        <f t="shared" si="205"/>
        <v>191553.7523538855</v>
      </c>
      <c r="EA61" s="13">
        <f t="shared" si="206"/>
        <v>308180.31694761669</v>
      </c>
      <c r="EB61" s="13">
        <f t="shared" si="207"/>
        <v>205324.99057124593</v>
      </c>
      <c r="EC61" s="13">
        <f t="shared" si="208"/>
        <v>132823.70589353537</v>
      </c>
      <c r="ED61" s="13">
        <f t="shared" si="209"/>
        <v>76862.731239518762</v>
      </c>
      <c r="EE61" s="13">
        <f t="shared" si="210"/>
        <v>43921.162529042107</v>
      </c>
      <c r="EF61" s="13">
        <f t="shared" si="211"/>
        <v>23907.174348817029</v>
      </c>
      <c r="EG61" s="13">
        <f t="shared" si="212"/>
        <v>29610.46473703672</v>
      </c>
      <c r="EH61" s="13">
        <f t="shared" si="213"/>
        <v>0</v>
      </c>
      <c r="EI61" s="13">
        <f t="shared" si="214"/>
        <v>52592.949199075476</v>
      </c>
      <c r="EJ61" s="13">
        <f t="shared" si="215"/>
        <v>107610.68344303395</v>
      </c>
      <c r="EK61" s="13">
        <f t="shared" si="216"/>
        <v>134836.36893731551</v>
      </c>
      <c r="EL61" s="21">
        <f t="shared" si="120"/>
        <v>1012184.298620698</v>
      </c>
      <c r="EM61" s="21">
        <f t="shared" si="121"/>
        <v>295040.00157942495</v>
      </c>
      <c r="EN61" s="21">
        <f t="shared" si="217"/>
        <v>15182764479.310471</v>
      </c>
      <c r="EO61" s="21">
        <f t="shared" si="218"/>
        <v>6638400035.5370617</v>
      </c>
      <c r="EP61" s="21">
        <f t="shared" si="219"/>
        <v>12930228049.447212</v>
      </c>
      <c r="EQ61" s="21">
        <f t="shared" si="220"/>
        <v>4539324091.1202335</v>
      </c>
      <c r="ER61" s="21">
        <f t="shared" si="221"/>
        <v>711462783.34426296</v>
      </c>
      <c r="ES61" s="21">
        <f t="shared" si="222"/>
        <v>249768228.37305927</v>
      </c>
    </row>
    <row r="62" spans="1:149" ht="15.75" thickBot="1" x14ac:dyDescent="0.3">
      <c r="A62" s="62" t="s">
        <v>104</v>
      </c>
      <c r="B62" s="82">
        <v>3</v>
      </c>
      <c r="C62" s="82">
        <v>4</v>
      </c>
      <c r="D62" s="82">
        <v>5</v>
      </c>
      <c r="E62" s="82">
        <v>6</v>
      </c>
      <c r="F62" s="82">
        <v>7</v>
      </c>
      <c r="G62" s="82">
        <v>8</v>
      </c>
      <c r="H62" s="82">
        <v>9</v>
      </c>
      <c r="I62" s="82">
        <v>10</v>
      </c>
      <c r="J62" s="82">
        <v>11</v>
      </c>
      <c r="K62" s="82">
        <v>12</v>
      </c>
      <c r="L62" s="82">
        <v>13</v>
      </c>
      <c r="M62" s="63">
        <v>14</v>
      </c>
      <c r="O62" s="3">
        <v>60</v>
      </c>
      <c r="P62" s="21">
        <f t="shared" si="122"/>
        <v>450507.28597265156</v>
      </c>
      <c r="Q62" s="21">
        <f t="shared" si="123"/>
        <v>419815.18888336571</v>
      </c>
      <c r="R62" s="13">
        <f t="shared" si="240"/>
        <v>692036.07604101615</v>
      </c>
      <c r="S62" s="13">
        <f t="shared" si="224"/>
        <v>512672.9345331284</v>
      </c>
      <c r="T62" s="13">
        <f t="shared" si="225"/>
        <v>399270.08290942368</v>
      </c>
      <c r="U62" s="13">
        <f t="shared" si="226"/>
        <v>326894.69570226833</v>
      </c>
      <c r="V62" s="13">
        <f t="shared" si="227"/>
        <v>267638.7404353132</v>
      </c>
      <c r="W62" s="13">
        <f t="shared" si="228"/>
        <v>167223.91393782661</v>
      </c>
      <c r="X62" s="13">
        <f t="shared" si="229"/>
        <v>79736.302667598982</v>
      </c>
      <c r="Y62" s="13">
        <f t="shared" si="230"/>
        <v>38020.148040986191</v>
      </c>
      <c r="Z62" s="13">
        <f t="shared" si="231"/>
        <v>18128.902506808197</v>
      </c>
      <c r="AA62" s="13">
        <f t="shared" si="232"/>
        <v>8644.2879135503172</v>
      </c>
      <c r="AB62" s="13">
        <f t="shared" si="233"/>
        <v>4121.8001768046925</v>
      </c>
      <c r="AC62" s="13">
        <f t="shared" si="234"/>
        <v>4588.3376196137269</v>
      </c>
      <c r="AD62" s="13">
        <f t="shared" si="235"/>
        <v>47617256.780937567</v>
      </c>
      <c r="AE62" s="13">
        <f t="shared" si="236"/>
        <v>32978657.518654536</v>
      </c>
      <c r="AF62" s="13">
        <f t="shared" si="237"/>
        <v>18515688.379590061</v>
      </c>
      <c r="AG62" s="13">
        <f t="shared" si="238"/>
        <v>15466792.64733424</v>
      </c>
      <c r="AH62" s="21">
        <f t="shared" si="137"/>
        <v>0</v>
      </c>
      <c r="AI62" s="21">
        <f t="shared" si="138"/>
        <v>1538.0188035993851</v>
      </c>
      <c r="AJ62" s="21">
        <f t="shared" si="139"/>
        <v>19753.36199657149</v>
      </c>
      <c r="AK62" s="21">
        <f t="shared" si="140"/>
        <v>89397.096782578199</v>
      </c>
      <c r="AL62" s="21">
        <f t="shared" si="141"/>
        <v>154751.53696959745</v>
      </c>
      <c r="AM62" s="21">
        <f t="shared" si="142"/>
        <v>135486.57532415277</v>
      </c>
      <c r="AN62" s="21">
        <f t="shared" si="143"/>
        <v>74691.932361996151</v>
      </c>
      <c r="AO62" s="21">
        <f t="shared" si="144"/>
        <v>37429.835216139298</v>
      </c>
      <c r="AP62" s="21">
        <f t="shared" si="145"/>
        <v>18030.624772166026</v>
      </c>
      <c r="AQ62" s="21">
        <f t="shared" si="146"/>
        <v>8618.3550498096665</v>
      </c>
      <c r="AR62" s="21">
        <f t="shared" si="147"/>
        <v>4121.8001768046925</v>
      </c>
      <c r="AS62" s="21">
        <f t="shared" si="148"/>
        <v>4588.3376196137269</v>
      </c>
      <c r="AT62" s="21">
        <f t="shared" si="149"/>
        <v>0</v>
      </c>
      <c r="AU62" s="21">
        <f t="shared" si="150"/>
        <v>16489328.759327268</v>
      </c>
      <c r="AV62" s="21">
        <f t="shared" si="151"/>
        <v>18515688.379590061</v>
      </c>
      <c r="AW62" s="21">
        <f t="shared" si="152"/>
        <v>15466792.64733424</v>
      </c>
      <c r="AX62" s="13">
        <f t="shared" si="100"/>
        <v>0.2</v>
      </c>
      <c r="AY62" s="13">
        <f t="shared" si="124"/>
        <v>0.6</v>
      </c>
      <c r="AZ62" s="13">
        <f t="shared" si="125"/>
        <v>1.2658</v>
      </c>
      <c r="BA62" s="13">
        <f t="shared" si="126"/>
        <v>2.1566490282946074</v>
      </c>
      <c r="BB62" s="13">
        <f t="shared" si="127"/>
        <v>3.3190880023835811</v>
      </c>
      <c r="BC62" s="13">
        <f t="shared" si="128"/>
        <v>4.825742094731428</v>
      </c>
      <c r="BD62" s="13">
        <f t="shared" si="129"/>
        <v>6.7428471065789912</v>
      </c>
      <c r="BE62" s="13">
        <f t="shared" si="130"/>
        <v>9.1478573575208788</v>
      </c>
      <c r="BF62" s="13">
        <f t="shared" si="131"/>
        <v>11.102017138577608</v>
      </c>
      <c r="BG62" s="13">
        <f t="shared" si="132"/>
        <v>13.304611498012703</v>
      </c>
      <c r="BH62" s="13">
        <f t="shared" si="133"/>
        <v>15.187941271112209</v>
      </c>
      <c r="BI62" s="13">
        <f t="shared" si="134"/>
        <v>16.898472530578346</v>
      </c>
      <c r="BJ62" s="13">
        <f t="shared" si="153"/>
        <v>4.0000000000000001E-3</v>
      </c>
      <c r="BK62" s="13">
        <f t="shared" si="154"/>
        <v>0.01</v>
      </c>
      <c r="BL62" s="13">
        <f t="shared" si="155"/>
        <v>0.02</v>
      </c>
      <c r="BM62" s="13">
        <f t="shared" si="156"/>
        <v>0.03</v>
      </c>
      <c r="BN62" s="30">
        <f t="shared" si="102"/>
        <v>4693566.6114690714</v>
      </c>
      <c r="BO62" s="30">
        <f t="shared" si="103"/>
        <v>1354573.1493221242</v>
      </c>
      <c r="BP62" s="30">
        <f t="shared" si="104"/>
        <v>2687198.818981668</v>
      </c>
      <c r="BQ62" s="30">
        <f t="shared" si="105"/>
        <v>999210.83460510126</v>
      </c>
      <c r="BR62" s="36">
        <f t="shared" si="157"/>
        <v>0.3</v>
      </c>
      <c r="BS62" s="36">
        <f t="shared" si="158"/>
        <v>0.25</v>
      </c>
      <c r="BT62" s="36">
        <f t="shared" si="159"/>
        <v>0.2</v>
      </c>
      <c r="BU62" s="36">
        <f t="shared" si="160"/>
        <v>0.2</v>
      </c>
      <c r="BV62" s="36">
        <f t="shared" si="161"/>
        <v>0.2</v>
      </c>
      <c r="BW62" s="36">
        <f t="shared" si="162"/>
        <v>0.2</v>
      </c>
      <c r="BX62" s="36">
        <f t="shared" si="163"/>
        <v>0.2</v>
      </c>
      <c r="BY62" s="36">
        <f t="shared" si="164"/>
        <v>0.2</v>
      </c>
      <c r="BZ62" s="36">
        <f t="shared" si="165"/>
        <v>0.2</v>
      </c>
      <c r="CA62" s="36">
        <f t="shared" si="166"/>
        <v>0.2</v>
      </c>
      <c r="CB62" s="36">
        <f t="shared" si="167"/>
        <v>0.2</v>
      </c>
      <c r="CC62" s="36">
        <f t="shared" si="168"/>
        <v>0.2</v>
      </c>
      <c r="CD62" s="35">
        <f t="shared" si="169"/>
        <v>0.36733462244705406</v>
      </c>
      <c r="CE62" s="35">
        <f t="shared" si="170"/>
        <v>0.36733462244705406</v>
      </c>
      <c r="CF62" s="35">
        <f t="shared" si="171"/>
        <v>0.36733462244705406</v>
      </c>
      <c r="CG62" s="35">
        <f t="shared" si="172"/>
        <v>0.36733462244705406</v>
      </c>
      <c r="CH62" s="28">
        <f t="shared" si="173"/>
        <v>0</v>
      </c>
      <c r="CI62" s="28">
        <f t="shared" si="174"/>
        <v>0</v>
      </c>
      <c r="CJ62" s="28">
        <f t="shared" si="175"/>
        <v>15770.614036054432</v>
      </c>
      <c r="CK62" s="28">
        <f t="shared" si="176"/>
        <v>23888.724507091374</v>
      </c>
      <c r="CL62" s="28">
        <f t="shared" si="177"/>
        <v>32524.842112434853</v>
      </c>
      <c r="CM62" s="28">
        <f t="shared" si="178"/>
        <v>31774.254119414636</v>
      </c>
      <c r="CN62" s="28">
        <f t="shared" si="179"/>
        <v>22669.837941795409</v>
      </c>
      <c r="CO62" s="28">
        <f t="shared" si="180"/>
        <v>15649.069205083269</v>
      </c>
      <c r="CP62" s="28">
        <f t="shared" si="181"/>
        <v>9597.6668334963979</v>
      </c>
      <c r="CQ62" s="28">
        <f t="shared" si="182"/>
        <v>5787.468674284165</v>
      </c>
      <c r="CR62" s="28">
        <f t="shared" si="183"/>
        <v>3303.6965785167317</v>
      </c>
      <c r="CS62" s="28">
        <f t="shared" si="184"/>
        <v>4270.9586021402065</v>
      </c>
      <c r="CT62" s="44">
        <f t="shared" si="106"/>
        <v>0</v>
      </c>
      <c r="CU62" s="44">
        <f t="shared" si="107"/>
        <v>0</v>
      </c>
      <c r="CV62" s="44">
        <f t="shared" si="108"/>
        <v>3.9498611869780563E-2</v>
      </c>
      <c r="CW62" s="44">
        <f t="shared" si="109"/>
        <v>7.3077736718153818E-2</v>
      </c>
      <c r="CX62" s="44">
        <f t="shared" si="110"/>
        <v>0.12152516507712353</v>
      </c>
      <c r="CY62" s="44">
        <f t="shared" si="111"/>
        <v>0.19001022862811484</v>
      </c>
      <c r="CZ62" s="44">
        <f t="shared" si="112"/>
        <v>0.28431012203187278</v>
      </c>
      <c r="DA62" s="44">
        <f t="shared" si="113"/>
        <v>0.41159937589441731</v>
      </c>
      <c r="DB62" s="44">
        <f t="shared" si="114"/>
        <v>0.52941245780830104</v>
      </c>
      <c r="DC62" s="44">
        <f t="shared" si="115"/>
        <v>0.66951364093415289</v>
      </c>
      <c r="DD62" s="44">
        <f t="shared" si="116"/>
        <v>0.80151788946688529</v>
      </c>
      <c r="DE62" s="44">
        <f t="shared" si="117"/>
        <v>0.9308291926651554</v>
      </c>
      <c r="DF62" s="21">
        <f t="shared" si="185"/>
        <v>0</v>
      </c>
      <c r="DG62" s="21">
        <f t="shared" si="186"/>
        <v>0</v>
      </c>
      <c r="DH62" s="21">
        <f t="shared" si="187"/>
        <v>0</v>
      </c>
      <c r="DI62" s="21">
        <f t="shared" si="188"/>
        <v>0</v>
      </c>
      <c r="DJ62" s="21">
        <f t="shared" si="189"/>
        <v>57712.76693306704</v>
      </c>
      <c r="DK62" s="21">
        <f t="shared" si="190"/>
        <v>63861.746194657513</v>
      </c>
      <c r="DL62" s="21">
        <f t="shared" si="191"/>
        <v>30450.785438210874</v>
      </c>
      <c r="DM62" s="21">
        <f t="shared" si="192"/>
        <v>14519.652047969055</v>
      </c>
      <c r="DN62" s="21">
        <f t="shared" si="193"/>
        <v>6923.3122429362666</v>
      </c>
      <c r="DO62" s="21">
        <f t="shared" si="194"/>
        <v>3301.1984217397435</v>
      </c>
      <c r="DP62" s="21">
        <f t="shared" si="195"/>
        <v>1574.0891990727007</v>
      </c>
      <c r="DQ62" s="21">
        <f t="shared" si="196"/>
        <v>1752.2568729500888</v>
      </c>
      <c r="DR62" s="21">
        <f t="shared" si="197"/>
        <v>0</v>
      </c>
      <c r="DS62" s="21">
        <f t="shared" si="198"/>
        <v>5259294.9210102344</v>
      </c>
      <c r="DT62" s="21">
        <f t="shared" si="199"/>
        <v>5380534.1742446944</v>
      </c>
      <c r="DU62" s="21">
        <f t="shared" si="200"/>
        <v>4494545.6360494737</v>
      </c>
      <c r="DV62" s="13">
        <f t="shared" si="201"/>
        <v>0</v>
      </c>
      <c r="DW62" s="13">
        <f t="shared" si="202"/>
        <v>0</v>
      </c>
      <c r="DX62" s="13">
        <f t="shared" si="203"/>
        <v>0</v>
      </c>
      <c r="DY62" s="13">
        <f t="shared" si="204"/>
        <v>0</v>
      </c>
      <c r="DZ62" s="13">
        <f t="shared" si="205"/>
        <v>191553.75231190267</v>
      </c>
      <c r="EA62" s="13">
        <f t="shared" si="206"/>
        <v>308180.31685461337</v>
      </c>
      <c r="EB62" s="13">
        <f t="shared" si="207"/>
        <v>205324.99048509786</v>
      </c>
      <c r="EC62" s="13">
        <f t="shared" si="208"/>
        <v>132823.70581565681</v>
      </c>
      <c r="ED62" s="13">
        <f t="shared" si="209"/>
        <v>76862.731176802612</v>
      </c>
      <c r="EE62" s="13">
        <f t="shared" si="210"/>
        <v>43921.162479099978</v>
      </c>
      <c r="EF62" s="13">
        <f t="shared" si="211"/>
        <v>23907.174311008232</v>
      </c>
      <c r="EG62" s="13">
        <f t="shared" si="212"/>
        <v>29610.464634064185</v>
      </c>
      <c r="EH62" s="13">
        <f t="shared" si="213"/>
        <v>0</v>
      </c>
      <c r="EI62" s="13">
        <f t="shared" si="214"/>
        <v>52592.949210102342</v>
      </c>
      <c r="EJ62" s="13">
        <f t="shared" si="215"/>
        <v>107610.68348489389</v>
      </c>
      <c r="EK62" s="13">
        <f t="shared" si="216"/>
        <v>134836.36908148421</v>
      </c>
      <c r="EL62" s="21">
        <f t="shared" si="120"/>
        <v>1012184.2980682458</v>
      </c>
      <c r="EM62" s="21">
        <f t="shared" si="121"/>
        <v>295040.00177648047</v>
      </c>
      <c r="EN62" s="21">
        <f t="shared" si="217"/>
        <v>15182764471.023685</v>
      </c>
      <c r="EO62" s="21">
        <f t="shared" si="218"/>
        <v>6638400039.9708109</v>
      </c>
      <c r="EP62" s="21">
        <f t="shared" si="219"/>
        <v>12930228041.160427</v>
      </c>
      <c r="EQ62" s="21">
        <f t="shared" si="220"/>
        <v>4539324095.5539818</v>
      </c>
      <c r="ER62" s="21">
        <f t="shared" si="221"/>
        <v>676764333.52051163</v>
      </c>
      <c r="ES62" s="21">
        <f t="shared" si="222"/>
        <v>237586888.36592919</v>
      </c>
    </row>
    <row r="63" spans="1:149" x14ac:dyDescent="0.25">
      <c r="A63" s="55" t="s">
        <v>78</v>
      </c>
      <c r="B63" s="56">
        <v>0</v>
      </c>
      <c r="C63" s="56">
        <v>0</v>
      </c>
      <c r="D63" s="81">
        <f>0.00000001*$B$48</f>
        <v>4.0000000000000001E-8</v>
      </c>
      <c r="E63" s="81">
        <f>$D$63*E$106/$D$106</f>
        <v>6.727761099699795E-8</v>
      </c>
      <c r="F63" s="81">
        <f t="shared" ref="F63:M66" si="247">$D$63*F$106/$D$106</f>
        <v>1.025564860167483E-7</v>
      </c>
      <c r="G63" s="81">
        <f t="shared" si="247"/>
        <v>1.4801706430715753E-7</v>
      </c>
      <c r="H63" s="81">
        <f t="shared" si="247"/>
        <v>2.056565018170327E-7</v>
      </c>
      <c r="I63" s="81">
        <f t="shared" si="247"/>
        <v>2.7788276188971399E-7</v>
      </c>
      <c r="J63" s="81">
        <f t="shared" si="247"/>
        <v>3.3508295149312688E-7</v>
      </c>
      <c r="K63" s="81">
        <f t="shared" si="247"/>
        <v>3.988307789540212E-7</v>
      </c>
      <c r="L63" s="81">
        <f t="shared" si="247"/>
        <v>4.5094011692210456E-7</v>
      </c>
      <c r="M63" s="81">
        <f t="shared" si="247"/>
        <v>4.9612893032074577E-7</v>
      </c>
      <c r="O63" s="3">
        <v>61</v>
      </c>
      <c r="P63" s="21">
        <f t="shared" si="122"/>
        <v>450507.28597265156</v>
      </c>
      <c r="Q63" s="21">
        <f t="shared" si="123"/>
        <v>419815.18888336571</v>
      </c>
      <c r="R63" s="13">
        <f t="shared" si="240"/>
        <v>692036.07600904023</v>
      </c>
      <c r="S63" s="13">
        <f t="shared" si="224"/>
        <v>512672.9345002636</v>
      </c>
      <c r="T63" s="13">
        <f t="shared" si="225"/>
        <v>399270.0828739155</v>
      </c>
      <c r="U63" s="13">
        <f t="shared" si="226"/>
        <v>326894.69566194067</v>
      </c>
      <c r="V63" s="13">
        <f t="shared" si="227"/>
        <v>267638.74038951588</v>
      </c>
      <c r="W63" s="13">
        <f t="shared" si="228"/>
        <v>167223.91389813833</v>
      </c>
      <c r="X63" s="13">
        <f t="shared" si="229"/>
        <v>79736.302641350558</v>
      </c>
      <c r="Y63" s="13">
        <f t="shared" si="230"/>
        <v>38020.148023624432</v>
      </c>
      <c r="Z63" s="13">
        <f t="shared" si="231"/>
        <v>18128.902495322302</v>
      </c>
      <c r="AA63" s="13">
        <f t="shared" si="232"/>
        <v>8644.2879059501138</v>
      </c>
      <c r="AB63" s="13">
        <f t="shared" si="233"/>
        <v>4121.8001717749721</v>
      </c>
      <c r="AC63" s="13">
        <f t="shared" si="234"/>
        <v>4588.3376076081113</v>
      </c>
      <c r="AD63" s="13">
        <f t="shared" si="235"/>
        <v>47617256.782388315</v>
      </c>
      <c r="AE63" s="13">
        <f t="shared" si="236"/>
        <v>32978657.522756103</v>
      </c>
      <c r="AF63" s="13">
        <f t="shared" si="237"/>
        <v>18515688.384304985</v>
      </c>
      <c r="AG63" s="13">
        <f t="shared" si="238"/>
        <v>15466792.658856569</v>
      </c>
      <c r="AH63" s="21">
        <f t="shared" si="137"/>
        <v>0</v>
      </c>
      <c r="AI63" s="21">
        <f t="shared" si="138"/>
        <v>1538.0188035007909</v>
      </c>
      <c r="AJ63" s="21">
        <f t="shared" si="139"/>
        <v>19753.361994814768</v>
      </c>
      <c r="AK63" s="21">
        <f t="shared" si="140"/>
        <v>89397.096771549652</v>
      </c>
      <c r="AL63" s="21">
        <f t="shared" si="141"/>
        <v>154751.53694311695</v>
      </c>
      <c r="AM63" s="21">
        <f t="shared" si="142"/>
        <v>135486.57529199691</v>
      </c>
      <c r="AN63" s="21">
        <f t="shared" si="143"/>
        <v>74691.932337408274</v>
      </c>
      <c r="AO63" s="21">
        <f t="shared" si="144"/>
        <v>37429.835199047106</v>
      </c>
      <c r="AP63" s="21">
        <f t="shared" si="145"/>
        <v>18030.624760742394</v>
      </c>
      <c r="AQ63" s="21">
        <f t="shared" si="146"/>
        <v>8618.3550422322642</v>
      </c>
      <c r="AR63" s="21">
        <f t="shared" si="147"/>
        <v>4121.8001717749721</v>
      </c>
      <c r="AS63" s="21">
        <f t="shared" si="148"/>
        <v>4588.3376076081113</v>
      </c>
      <c r="AT63" s="21">
        <f t="shared" si="149"/>
        <v>0</v>
      </c>
      <c r="AU63" s="21">
        <f t="shared" si="150"/>
        <v>16489328.761378052</v>
      </c>
      <c r="AV63" s="21">
        <f t="shared" si="151"/>
        <v>18515688.384304985</v>
      </c>
      <c r="AW63" s="21">
        <f t="shared" si="152"/>
        <v>15466792.658856569</v>
      </c>
      <c r="AX63" s="13">
        <f t="shared" si="100"/>
        <v>0.2</v>
      </c>
      <c r="AY63" s="13">
        <f t="shared" si="124"/>
        <v>0.6</v>
      </c>
      <c r="AZ63" s="13">
        <f t="shared" si="125"/>
        <v>1.2658</v>
      </c>
      <c r="BA63" s="13">
        <f t="shared" si="126"/>
        <v>2.1566490283088462</v>
      </c>
      <c r="BB63" s="13">
        <f t="shared" si="127"/>
        <v>3.3190880024270442</v>
      </c>
      <c r="BC63" s="13">
        <f t="shared" si="128"/>
        <v>4.8257420948267704</v>
      </c>
      <c r="BD63" s="13">
        <f t="shared" si="129"/>
        <v>6.7428471067592044</v>
      </c>
      <c r="BE63" s="13">
        <f t="shared" si="130"/>
        <v>9.1478573578323772</v>
      </c>
      <c r="BF63" s="13">
        <f t="shared" si="131"/>
        <v>11.102017139083925</v>
      </c>
      <c r="BG63" s="13">
        <f t="shared" si="132"/>
        <v>13.304611498810514</v>
      </c>
      <c r="BH63" s="13">
        <f t="shared" si="133"/>
        <v>15.187941272339655</v>
      </c>
      <c r="BI63" s="13">
        <f t="shared" si="134"/>
        <v>16.898472532425618</v>
      </c>
      <c r="BJ63" s="13">
        <f t="shared" si="153"/>
        <v>4.0000000000000001E-3</v>
      </c>
      <c r="BK63" s="13">
        <f t="shared" si="154"/>
        <v>0.01</v>
      </c>
      <c r="BL63" s="13">
        <f t="shared" si="155"/>
        <v>0.02</v>
      </c>
      <c r="BM63" s="13">
        <f t="shared" si="156"/>
        <v>0.03</v>
      </c>
      <c r="BN63" s="30">
        <f t="shared" si="102"/>
        <v>4693566.6102118483</v>
      </c>
      <c r="BO63" s="30">
        <f t="shared" si="103"/>
        <v>1354573.1498089109</v>
      </c>
      <c r="BP63" s="30">
        <f t="shared" si="104"/>
        <v>2687198.817959053</v>
      </c>
      <c r="BQ63" s="30">
        <f t="shared" si="105"/>
        <v>999210.83506557718</v>
      </c>
      <c r="BR63" s="36">
        <f t="shared" si="157"/>
        <v>0.3</v>
      </c>
      <c r="BS63" s="36">
        <f t="shared" si="158"/>
        <v>0.25</v>
      </c>
      <c r="BT63" s="36">
        <f t="shared" si="159"/>
        <v>0.2</v>
      </c>
      <c r="BU63" s="36">
        <f t="shared" si="160"/>
        <v>0.2</v>
      </c>
      <c r="BV63" s="36">
        <f t="shared" si="161"/>
        <v>0.2</v>
      </c>
      <c r="BW63" s="36">
        <f t="shared" si="162"/>
        <v>0.2</v>
      </c>
      <c r="BX63" s="36">
        <f t="shared" si="163"/>
        <v>0.2</v>
      </c>
      <c r="BY63" s="36">
        <f t="shared" si="164"/>
        <v>0.2</v>
      </c>
      <c r="BZ63" s="36">
        <f t="shared" si="165"/>
        <v>0.2</v>
      </c>
      <c r="CA63" s="36">
        <f t="shared" si="166"/>
        <v>0.2</v>
      </c>
      <c r="CB63" s="36">
        <f t="shared" si="167"/>
        <v>0.2</v>
      </c>
      <c r="CC63" s="36">
        <f t="shared" si="168"/>
        <v>0.2</v>
      </c>
      <c r="CD63" s="35">
        <f t="shared" si="169"/>
        <v>0.3673346223878714</v>
      </c>
      <c r="CE63" s="35">
        <f t="shared" si="170"/>
        <v>0.3673346223878714</v>
      </c>
      <c r="CF63" s="35">
        <f t="shared" si="171"/>
        <v>0.3673346223878714</v>
      </c>
      <c r="CG63" s="35">
        <f t="shared" si="172"/>
        <v>0.3673346223878714</v>
      </c>
      <c r="CH63" s="28">
        <f t="shared" si="173"/>
        <v>0</v>
      </c>
      <c r="CI63" s="28">
        <f t="shared" si="174"/>
        <v>0</v>
      </c>
      <c r="CJ63" s="28">
        <f t="shared" si="175"/>
        <v>15770.61404050624</v>
      </c>
      <c r="CK63" s="28">
        <f t="shared" si="176"/>
        <v>23888.724513012239</v>
      </c>
      <c r="CL63" s="28">
        <f t="shared" si="177"/>
        <v>32524.842118943128</v>
      </c>
      <c r="CM63" s="28">
        <f t="shared" si="178"/>
        <v>31774.25412366863</v>
      </c>
      <c r="CN63" s="28">
        <f t="shared" si="179"/>
        <v>22669.837942748167</v>
      </c>
      <c r="CO63" s="28">
        <f t="shared" si="180"/>
        <v>15649.069203746392</v>
      </c>
      <c r="CP63" s="28">
        <f t="shared" si="181"/>
        <v>9597.6668309784454</v>
      </c>
      <c r="CQ63" s="28">
        <f t="shared" si="182"/>
        <v>5787.468671344137</v>
      </c>
      <c r="CR63" s="28">
        <f t="shared" si="183"/>
        <v>3303.6965757117123</v>
      </c>
      <c r="CS63" s="28">
        <f t="shared" si="184"/>
        <v>4270.9585925504862</v>
      </c>
      <c r="CT63" s="44">
        <f t="shared" si="106"/>
        <v>0</v>
      </c>
      <c r="CU63" s="44">
        <f t="shared" si="107"/>
        <v>0</v>
      </c>
      <c r="CV63" s="44">
        <f t="shared" si="108"/>
        <v>3.9498611884443147E-2</v>
      </c>
      <c r="CW63" s="44">
        <f t="shared" si="109"/>
        <v>7.3077736745281577E-2</v>
      </c>
      <c r="CX63" s="44">
        <f t="shared" si="110"/>
        <v>0.12152516512223584</v>
      </c>
      <c r="CY63" s="44">
        <f t="shared" si="111"/>
        <v>0.19001022869865006</v>
      </c>
      <c r="CZ63" s="44">
        <f t="shared" si="112"/>
        <v>0.2843101221374138</v>
      </c>
      <c r="DA63" s="44">
        <f t="shared" si="113"/>
        <v>0.41159937604721031</v>
      </c>
      <c r="DB63" s="44">
        <f t="shared" si="114"/>
        <v>0.52941245800482828</v>
      </c>
      <c r="DC63" s="44">
        <f t="shared" si="115"/>
        <v>0.6695136411826883</v>
      </c>
      <c r="DD63" s="44">
        <f t="shared" si="116"/>
        <v>0.80151788976442306</v>
      </c>
      <c r="DE63" s="44">
        <f t="shared" si="117"/>
        <v>0.93082919301069611</v>
      </c>
      <c r="DF63" s="21">
        <f t="shared" si="185"/>
        <v>0</v>
      </c>
      <c r="DG63" s="21">
        <f t="shared" si="186"/>
        <v>0</v>
      </c>
      <c r="DH63" s="21">
        <f t="shared" si="187"/>
        <v>0</v>
      </c>
      <c r="DI63" s="21">
        <f t="shared" si="188"/>
        <v>0</v>
      </c>
      <c r="DJ63" s="21">
        <f t="shared" si="189"/>
        <v>57712.766923191455</v>
      </c>
      <c r="DK63" s="21">
        <f t="shared" si="190"/>
        <v>63861.746179500813</v>
      </c>
      <c r="DL63" s="21">
        <f t="shared" si="191"/>
        <v>30450.785428186769</v>
      </c>
      <c r="DM63" s="21">
        <f t="shared" si="192"/>
        <v>14519.65204133871</v>
      </c>
      <c r="DN63" s="21">
        <f t="shared" si="193"/>
        <v>6923.3122385498755</v>
      </c>
      <c r="DO63" s="21">
        <f t="shared" si="194"/>
        <v>3301.1984188372744</v>
      </c>
      <c r="DP63" s="21">
        <f t="shared" si="195"/>
        <v>1574.0891971518827</v>
      </c>
      <c r="DQ63" s="21">
        <f t="shared" si="196"/>
        <v>1752.256868365221</v>
      </c>
      <c r="DR63" s="21">
        <f t="shared" si="197"/>
        <v>0</v>
      </c>
      <c r="DS63" s="21">
        <f t="shared" si="198"/>
        <v>5259294.9218050754</v>
      </c>
      <c r="DT63" s="21">
        <f t="shared" si="199"/>
        <v>5380534.1757533606</v>
      </c>
      <c r="DU63" s="21">
        <f t="shared" si="200"/>
        <v>4494545.6395135121</v>
      </c>
      <c r="DV63" s="13">
        <f t="shared" si="201"/>
        <v>0</v>
      </c>
      <c r="DW63" s="13">
        <f t="shared" si="202"/>
        <v>0</v>
      </c>
      <c r="DX63" s="13">
        <f t="shared" si="203"/>
        <v>0</v>
      </c>
      <c r="DY63" s="13">
        <f t="shared" si="204"/>
        <v>0</v>
      </c>
      <c r="DZ63" s="13">
        <f t="shared" si="205"/>
        <v>191553.75228163312</v>
      </c>
      <c r="EA63" s="13">
        <f t="shared" si="206"/>
        <v>308180.31678755977</v>
      </c>
      <c r="EB63" s="13">
        <f t="shared" si="207"/>
        <v>205324.99042299451</v>
      </c>
      <c r="EC63" s="13">
        <f t="shared" si="208"/>
        <v>132823.7057595262</v>
      </c>
      <c r="ED63" s="13">
        <f t="shared" si="209"/>
        <v>76862.731131610213</v>
      </c>
      <c r="EE63" s="13">
        <f t="shared" si="210"/>
        <v>43921.162443117486</v>
      </c>
      <c r="EF63" s="13">
        <f t="shared" si="211"/>
        <v>23907.174283767072</v>
      </c>
      <c r="EG63" s="13">
        <f t="shared" si="212"/>
        <v>29610.464559823817</v>
      </c>
      <c r="EH63" s="13">
        <f t="shared" si="213"/>
        <v>0</v>
      </c>
      <c r="EI63" s="13">
        <f t="shared" si="214"/>
        <v>52592.949218050751</v>
      </c>
      <c r="EJ63" s="13">
        <f t="shared" si="215"/>
        <v>107610.68351506721</v>
      </c>
      <c r="EK63" s="13">
        <f t="shared" si="216"/>
        <v>134836.36918540535</v>
      </c>
      <c r="EL63" s="21">
        <f t="shared" si="120"/>
        <v>1012184.2976700322</v>
      </c>
      <c r="EM63" s="21">
        <f t="shared" si="121"/>
        <v>295040.00191852334</v>
      </c>
      <c r="EN63" s="21">
        <f t="shared" si="217"/>
        <v>15182764465.050484</v>
      </c>
      <c r="EO63" s="21">
        <f t="shared" si="218"/>
        <v>6638400043.1667747</v>
      </c>
      <c r="EP63" s="21">
        <f t="shared" si="219"/>
        <v>12930228035.187225</v>
      </c>
      <c r="EQ63" s="21">
        <f t="shared" si="220"/>
        <v>4539324098.7499466</v>
      </c>
      <c r="ER63" s="21">
        <f t="shared" si="221"/>
        <v>643758147.19993746</v>
      </c>
      <c r="ES63" s="21">
        <f t="shared" si="222"/>
        <v>225999639.24835598</v>
      </c>
    </row>
    <row r="64" spans="1:149" x14ac:dyDescent="0.25">
      <c r="A64" s="52" t="s">
        <v>79</v>
      </c>
      <c r="B64" s="51">
        <v>0</v>
      </c>
      <c r="C64" s="51">
        <v>0</v>
      </c>
      <c r="D64" s="57">
        <f t="shared" ref="D64:D66" si="248">0.00000001*$B$48</f>
        <v>4.0000000000000001E-8</v>
      </c>
      <c r="E64" s="81">
        <f t="shared" ref="E64:E66" si="249">$D$63*E$106/$D$106</f>
        <v>6.727761099699795E-8</v>
      </c>
      <c r="F64" s="81">
        <f t="shared" si="247"/>
        <v>1.025564860167483E-7</v>
      </c>
      <c r="G64" s="81">
        <f t="shared" si="247"/>
        <v>1.4801706430715753E-7</v>
      </c>
      <c r="H64" s="81">
        <f t="shared" si="247"/>
        <v>2.056565018170327E-7</v>
      </c>
      <c r="I64" s="81">
        <f t="shared" si="247"/>
        <v>2.7788276188971399E-7</v>
      </c>
      <c r="J64" s="81">
        <f t="shared" si="247"/>
        <v>3.3508295149312688E-7</v>
      </c>
      <c r="K64" s="81">
        <f t="shared" si="247"/>
        <v>3.988307789540212E-7</v>
      </c>
      <c r="L64" s="81">
        <f t="shared" si="247"/>
        <v>4.5094011692210456E-7</v>
      </c>
      <c r="M64" s="81">
        <f t="shared" si="247"/>
        <v>4.9612893032074577E-7</v>
      </c>
      <c r="O64" s="3">
        <v>62</v>
      </c>
      <c r="P64" s="21">
        <f t="shared" si="122"/>
        <v>450507.28597265156</v>
      </c>
      <c r="Q64" s="21">
        <f t="shared" si="123"/>
        <v>419815.18888336571</v>
      </c>
      <c r="R64" s="13">
        <f t="shared" si="240"/>
        <v>692036.07598599303</v>
      </c>
      <c r="S64" s="13">
        <f t="shared" si="224"/>
        <v>512672.93447657523</v>
      </c>
      <c r="T64" s="13">
        <f t="shared" si="225"/>
        <v>399270.08284832037</v>
      </c>
      <c r="U64" s="13">
        <f t="shared" si="226"/>
        <v>326894.69563286903</v>
      </c>
      <c r="V64" s="13">
        <f t="shared" si="227"/>
        <v>267638.74035649834</v>
      </c>
      <c r="W64" s="13">
        <f t="shared" si="228"/>
        <v>167223.91386952362</v>
      </c>
      <c r="X64" s="13">
        <f t="shared" si="229"/>
        <v>79736.302622426258</v>
      </c>
      <c r="Y64" s="13">
        <f t="shared" si="230"/>
        <v>38020.148011108562</v>
      </c>
      <c r="Z64" s="13">
        <f t="shared" si="231"/>
        <v>18128.902487043804</v>
      </c>
      <c r="AA64" s="13">
        <f t="shared" si="232"/>
        <v>8644.2879004733677</v>
      </c>
      <c r="AB64" s="13">
        <f t="shared" si="233"/>
        <v>4121.8001681510159</v>
      </c>
      <c r="AC64" s="13">
        <f t="shared" si="234"/>
        <v>4588.3375989542737</v>
      </c>
      <c r="AD64" s="13">
        <f t="shared" si="235"/>
        <v>47617256.783434048</v>
      </c>
      <c r="AE64" s="13">
        <f t="shared" si="236"/>
        <v>32978657.525712628</v>
      </c>
      <c r="AF64" s="13">
        <f t="shared" si="237"/>
        <v>18515688.387703594</v>
      </c>
      <c r="AG64" s="13">
        <f t="shared" si="238"/>
        <v>15466792.667162161</v>
      </c>
      <c r="AH64" s="21">
        <f t="shared" si="137"/>
        <v>0</v>
      </c>
      <c r="AI64" s="21">
        <f t="shared" si="138"/>
        <v>1538.0188034297257</v>
      </c>
      <c r="AJ64" s="21">
        <f t="shared" si="139"/>
        <v>19753.361993548482</v>
      </c>
      <c r="AK64" s="21">
        <f t="shared" si="140"/>
        <v>89397.096763599315</v>
      </c>
      <c r="AL64" s="21">
        <f t="shared" si="141"/>
        <v>154751.53692402586</v>
      </c>
      <c r="AM64" s="21">
        <f t="shared" si="142"/>
        <v>135486.57526881297</v>
      </c>
      <c r="AN64" s="21">
        <f t="shared" si="143"/>
        <v>74691.932319681189</v>
      </c>
      <c r="AO64" s="21">
        <f t="shared" si="144"/>
        <v>37429.835186725562</v>
      </c>
      <c r="AP64" s="21">
        <f t="shared" si="145"/>
        <v>18030.624752508778</v>
      </c>
      <c r="AQ64" s="21">
        <f t="shared" si="146"/>
        <v>8618.355036771949</v>
      </c>
      <c r="AR64" s="21">
        <f t="shared" si="147"/>
        <v>4121.8001681510159</v>
      </c>
      <c r="AS64" s="21">
        <f t="shared" si="148"/>
        <v>4588.3375989542737</v>
      </c>
      <c r="AT64" s="21">
        <f t="shared" si="149"/>
        <v>0</v>
      </c>
      <c r="AU64" s="21">
        <f t="shared" si="150"/>
        <v>16489328.762856314</v>
      </c>
      <c r="AV64" s="21">
        <f t="shared" si="151"/>
        <v>18515688.387703594</v>
      </c>
      <c r="AW64" s="21">
        <f t="shared" si="152"/>
        <v>15466792.667162161</v>
      </c>
      <c r="AX64" s="13">
        <f t="shared" si="100"/>
        <v>0.2</v>
      </c>
      <c r="AY64" s="13">
        <f t="shared" si="124"/>
        <v>0.6</v>
      </c>
      <c r="AZ64" s="13">
        <f t="shared" si="125"/>
        <v>1.2658</v>
      </c>
      <c r="BA64" s="13">
        <f t="shared" si="126"/>
        <v>2.15664902831911</v>
      </c>
      <c r="BB64" s="13">
        <f t="shared" si="127"/>
        <v>3.3190880024583738</v>
      </c>
      <c r="BC64" s="13">
        <f t="shared" si="128"/>
        <v>4.8257420948954959</v>
      </c>
      <c r="BD64" s="13">
        <f t="shared" si="129"/>
        <v>6.7428471068891085</v>
      </c>
      <c r="BE64" s="13">
        <f t="shared" si="130"/>
        <v>9.1478573580569176</v>
      </c>
      <c r="BF64" s="13">
        <f t="shared" si="131"/>
        <v>11.1020171394489</v>
      </c>
      <c r="BG64" s="13">
        <f t="shared" si="132"/>
        <v>13.304611499385615</v>
      </c>
      <c r="BH64" s="13">
        <f t="shared" si="133"/>
        <v>15.187941273224455</v>
      </c>
      <c r="BI64" s="13">
        <f t="shared" si="134"/>
        <v>16.898472533757204</v>
      </c>
      <c r="BJ64" s="13">
        <f t="shared" si="153"/>
        <v>4.0000000000000001E-3</v>
      </c>
      <c r="BK64" s="13">
        <f t="shared" si="154"/>
        <v>0.01</v>
      </c>
      <c r="BL64" s="13">
        <f t="shared" si="155"/>
        <v>0.02</v>
      </c>
      <c r="BM64" s="13">
        <f t="shared" si="156"/>
        <v>0.03</v>
      </c>
      <c r="BN64" s="30">
        <f t="shared" si="102"/>
        <v>4693566.6093055783</v>
      </c>
      <c r="BO64" s="30">
        <f t="shared" si="103"/>
        <v>1354573.1501597993</v>
      </c>
      <c r="BP64" s="30">
        <f t="shared" si="104"/>
        <v>2687198.817221914</v>
      </c>
      <c r="BQ64" s="30">
        <f t="shared" si="105"/>
        <v>999210.83539749985</v>
      </c>
      <c r="BR64" s="36">
        <f t="shared" si="157"/>
        <v>0.3</v>
      </c>
      <c r="BS64" s="36">
        <f t="shared" si="158"/>
        <v>0.25</v>
      </c>
      <c r="BT64" s="36">
        <f t="shared" si="159"/>
        <v>0.2</v>
      </c>
      <c r="BU64" s="36">
        <f t="shared" si="160"/>
        <v>0.2</v>
      </c>
      <c r="BV64" s="36">
        <f t="shared" si="161"/>
        <v>0.2</v>
      </c>
      <c r="BW64" s="36">
        <f t="shared" si="162"/>
        <v>0.2</v>
      </c>
      <c r="BX64" s="36">
        <f t="shared" si="163"/>
        <v>0.2</v>
      </c>
      <c r="BY64" s="36">
        <f t="shared" si="164"/>
        <v>0.2</v>
      </c>
      <c r="BZ64" s="36">
        <f t="shared" si="165"/>
        <v>0.2</v>
      </c>
      <c r="CA64" s="36">
        <f t="shared" si="166"/>
        <v>0.2</v>
      </c>
      <c r="CB64" s="36">
        <f t="shared" si="167"/>
        <v>0.2</v>
      </c>
      <c r="CC64" s="36">
        <f t="shared" si="168"/>
        <v>0.2</v>
      </c>
      <c r="CD64" s="35">
        <f t="shared" si="169"/>
        <v>0.3673346223452103</v>
      </c>
      <c r="CE64" s="35">
        <f t="shared" si="170"/>
        <v>0.3673346223452103</v>
      </c>
      <c r="CF64" s="35">
        <f t="shared" si="171"/>
        <v>0.3673346223452103</v>
      </c>
      <c r="CG64" s="35">
        <f t="shared" si="172"/>
        <v>0.3673346223452103</v>
      </c>
      <c r="CH64" s="28">
        <f t="shared" si="173"/>
        <v>0</v>
      </c>
      <c r="CI64" s="28">
        <f t="shared" si="174"/>
        <v>0</v>
      </c>
      <c r="CJ64" s="28">
        <f t="shared" si="175"/>
        <v>15770.614043715224</v>
      </c>
      <c r="CK64" s="28">
        <f t="shared" si="176"/>
        <v>23888.724517279981</v>
      </c>
      <c r="CL64" s="28">
        <f t="shared" si="177"/>
        <v>32524.842123633778</v>
      </c>
      <c r="CM64" s="28">
        <f t="shared" si="178"/>
        <v>31774.254126733809</v>
      </c>
      <c r="CN64" s="28">
        <f t="shared" si="179"/>
        <v>22669.837943433871</v>
      </c>
      <c r="CO64" s="28">
        <f t="shared" si="180"/>
        <v>15649.069202782299</v>
      </c>
      <c r="CP64" s="28">
        <f t="shared" si="181"/>
        <v>9597.6668291638834</v>
      </c>
      <c r="CQ64" s="28">
        <f t="shared" si="182"/>
        <v>5787.468669226012</v>
      </c>
      <c r="CR64" s="28">
        <f t="shared" si="183"/>
        <v>3303.6965736910615</v>
      </c>
      <c r="CS64" s="28">
        <f t="shared" si="184"/>
        <v>4270.95858563808</v>
      </c>
      <c r="CT64" s="44">
        <f t="shared" si="106"/>
        <v>0</v>
      </c>
      <c r="CU64" s="44">
        <f t="shared" si="107"/>
        <v>0</v>
      </c>
      <c r="CV64" s="44">
        <f t="shared" si="108"/>
        <v>3.9498611895012331E-2</v>
      </c>
      <c r="CW64" s="44">
        <f t="shared" si="109"/>
        <v>7.3077736764835977E-2</v>
      </c>
      <c r="CX64" s="44">
        <f t="shared" si="110"/>
        <v>0.12152516515475398</v>
      </c>
      <c r="CY64" s="44">
        <f t="shared" si="111"/>
        <v>0.19001022874949366</v>
      </c>
      <c r="CZ64" s="44">
        <f t="shared" si="112"/>
        <v>0.2843101222134905</v>
      </c>
      <c r="DA64" s="44">
        <f t="shared" si="113"/>
        <v>0.41159937615734743</v>
      </c>
      <c r="DB64" s="44">
        <f t="shared" si="114"/>
        <v>0.52941245814649041</v>
      </c>
      <c r="DC64" s="44">
        <f t="shared" si="115"/>
        <v>0.66951364136183922</v>
      </c>
      <c r="DD64" s="44">
        <f t="shared" si="116"/>
        <v>0.80151788997889617</v>
      </c>
      <c r="DE64" s="44">
        <f t="shared" si="117"/>
        <v>0.93082919325977076</v>
      </c>
      <c r="DF64" s="21">
        <f t="shared" si="185"/>
        <v>0</v>
      </c>
      <c r="DG64" s="21">
        <f t="shared" si="186"/>
        <v>0</v>
      </c>
      <c r="DH64" s="21">
        <f t="shared" si="187"/>
        <v>0</v>
      </c>
      <c r="DI64" s="21">
        <f t="shared" si="188"/>
        <v>0</v>
      </c>
      <c r="DJ64" s="21">
        <f t="shared" si="189"/>
        <v>57712.766916071661</v>
      </c>
      <c r="DK64" s="21">
        <f t="shared" si="190"/>
        <v>63861.746168573038</v>
      </c>
      <c r="DL64" s="21">
        <f t="shared" si="191"/>
        <v>30450.785420959699</v>
      </c>
      <c r="DM64" s="21">
        <f t="shared" si="192"/>
        <v>14519.65203655898</v>
      </c>
      <c r="DN64" s="21">
        <f t="shared" si="193"/>
        <v>6923.31223538837</v>
      </c>
      <c r="DO64" s="21">
        <f t="shared" si="194"/>
        <v>3301.1984167457399</v>
      </c>
      <c r="DP64" s="21">
        <f t="shared" si="195"/>
        <v>1574.0891957679169</v>
      </c>
      <c r="DQ64" s="21">
        <f t="shared" si="196"/>
        <v>1752.2568650603755</v>
      </c>
      <c r="DR64" s="21">
        <f t="shared" si="197"/>
        <v>0</v>
      </c>
      <c r="DS64" s="21">
        <f t="shared" si="198"/>
        <v>5259294.9223780194</v>
      </c>
      <c r="DT64" s="21">
        <f t="shared" si="199"/>
        <v>5380534.1768408427</v>
      </c>
      <c r="DU64" s="21">
        <f t="shared" si="200"/>
        <v>4494545.6420104848</v>
      </c>
      <c r="DV64" s="13">
        <f t="shared" si="201"/>
        <v>0</v>
      </c>
      <c r="DW64" s="13">
        <f t="shared" si="202"/>
        <v>0</v>
      </c>
      <c r="DX64" s="13">
        <f t="shared" si="203"/>
        <v>0</v>
      </c>
      <c r="DY64" s="13">
        <f t="shared" si="204"/>
        <v>0</v>
      </c>
      <c r="DZ64" s="13">
        <f t="shared" si="205"/>
        <v>191553.75225981002</v>
      </c>
      <c r="EA64" s="13">
        <f t="shared" si="206"/>
        <v>308180.31673921406</v>
      </c>
      <c r="EB64" s="13">
        <f t="shared" si="207"/>
        <v>205324.99037821914</v>
      </c>
      <c r="EC64" s="13">
        <f t="shared" si="208"/>
        <v>132823.70571906219</v>
      </c>
      <c r="ED64" s="13">
        <f t="shared" si="209"/>
        <v>76862.731099037963</v>
      </c>
      <c r="EE64" s="13">
        <f t="shared" si="210"/>
        <v>43921.162417188956</v>
      </c>
      <c r="EF64" s="13">
        <f t="shared" si="211"/>
        <v>23907.174264140234</v>
      </c>
      <c r="EG64" s="13">
        <f t="shared" si="212"/>
        <v>29610.464506310258</v>
      </c>
      <c r="EH64" s="13">
        <f t="shared" si="213"/>
        <v>0</v>
      </c>
      <c r="EI64" s="13">
        <f t="shared" si="214"/>
        <v>52592.949223780197</v>
      </c>
      <c r="EJ64" s="13">
        <f t="shared" si="215"/>
        <v>107610.68353681685</v>
      </c>
      <c r="EK64" s="13">
        <f t="shared" si="216"/>
        <v>134836.36926031453</v>
      </c>
      <c r="EL64" s="21">
        <f t="shared" si="120"/>
        <v>1012184.2973829828</v>
      </c>
      <c r="EM64" s="21">
        <f t="shared" si="121"/>
        <v>295040.00202091155</v>
      </c>
      <c r="EN64" s="21">
        <f t="shared" si="217"/>
        <v>15182764460.744741</v>
      </c>
      <c r="EO64" s="21">
        <f t="shared" si="218"/>
        <v>6638400045.4705095</v>
      </c>
      <c r="EP64" s="21">
        <f t="shared" si="219"/>
        <v>12930228030.881483</v>
      </c>
      <c r="EQ64" s="21">
        <f t="shared" si="220"/>
        <v>4539324101.0536804</v>
      </c>
      <c r="ER64" s="21">
        <f t="shared" si="221"/>
        <v>612361691.67472696</v>
      </c>
      <c r="ES64" s="21">
        <f t="shared" si="222"/>
        <v>214977506.88868493</v>
      </c>
    </row>
    <row r="65" spans="1:149" x14ac:dyDescent="0.25">
      <c r="A65" s="52" t="s">
        <v>80</v>
      </c>
      <c r="B65" s="51">
        <v>0</v>
      </c>
      <c r="C65" s="51">
        <v>0</v>
      </c>
      <c r="D65" s="57">
        <f t="shared" si="248"/>
        <v>4.0000000000000001E-8</v>
      </c>
      <c r="E65" s="81">
        <f t="shared" si="249"/>
        <v>6.727761099699795E-8</v>
      </c>
      <c r="F65" s="81">
        <f t="shared" si="247"/>
        <v>1.025564860167483E-7</v>
      </c>
      <c r="G65" s="81">
        <f t="shared" si="247"/>
        <v>1.4801706430715753E-7</v>
      </c>
      <c r="H65" s="81">
        <f t="shared" si="247"/>
        <v>2.056565018170327E-7</v>
      </c>
      <c r="I65" s="81">
        <f t="shared" si="247"/>
        <v>2.7788276188971399E-7</v>
      </c>
      <c r="J65" s="81">
        <f t="shared" si="247"/>
        <v>3.3508295149312688E-7</v>
      </c>
      <c r="K65" s="81">
        <f t="shared" si="247"/>
        <v>3.988307789540212E-7</v>
      </c>
      <c r="L65" s="81">
        <f t="shared" si="247"/>
        <v>4.5094011692210456E-7</v>
      </c>
      <c r="M65" s="81">
        <f t="shared" si="247"/>
        <v>4.9612893032074577E-7</v>
      </c>
      <c r="O65" s="3">
        <v>63</v>
      </c>
      <c r="P65" s="21">
        <f t="shared" si="122"/>
        <v>450507.28597265156</v>
      </c>
      <c r="Q65" s="21">
        <f t="shared" si="123"/>
        <v>419815.18888336571</v>
      </c>
      <c r="R65" s="13">
        <f t="shared" si="240"/>
        <v>692036.07596938103</v>
      </c>
      <c r="S65" s="13">
        <f t="shared" si="224"/>
        <v>512672.93445950147</v>
      </c>
      <c r="T65" s="13">
        <f t="shared" si="225"/>
        <v>399270.08282987186</v>
      </c>
      <c r="U65" s="13">
        <f t="shared" si="226"/>
        <v>326894.69561191351</v>
      </c>
      <c r="V65" s="13">
        <f t="shared" si="227"/>
        <v>267638.74033269653</v>
      </c>
      <c r="W65" s="13">
        <f t="shared" si="228"/>
        <v>167223.91384889386</v>
      </c>
      <c r="X65" s="13">
        <f t="shared" si="229"/>
        <v>79736.302608782091</v>
      </c>
      <c r="Y65" s="13">
        <f t="shared" si="230"/>
        <v>38020.148002085014</v>
      </c>
      <c r="Z65" s="13">
        <f t="shared" si="231"/>
        <v>18128.902481075944</v>
      </c>
      <c r="AA65" s="13">
        <f t="shared" si="232"/>
        <v>8644.2878965259861</v>
      </c>
      <c r="AB65" s="13">
        <f t="shared" si="233"/>
        <v>4121.8001655395747</v>
      </c>
      <c r="AC65" s="13">
        <f t="shared" si="234"/>
        <v>4588.3375927173511</v>
      </c>
      <c r="AD65" s="13">
        <f t="shared" si="235"/>
        <v>47617256.784187838</v>
      </c>
      <c r="AE65" s="13">
        <f t="shared" si="236"/>
        <v>32978657.527843785</v>
      </c>
      <c r="AF65" s="13">
        <f t="shared" si="237"/>
        <v>18515688.390153419</v>
      </c>
      <c r="AG65" s="13">
        <f t="shared" si="238"/>
        <v>15466792.673149046</v>
      </c>
      <c r="AH65" s="21">
        <f t="shared" si="137"/>
        <v>0</v>
      </c>
      <c r="AI65" s="21">
        <f t="shared" si="138"/>
        <v>1538.0188033785043</v>
      </c>
      <c r="AJ65" s="21">
        <f t="shared" si="139"/>
        <v>19753.361992635768</v>
      </c>
      <c r="AK65" s="21">
        <f t="shared" si="140"/>
        <v>89397.096757868538</v>
      </c>
      <c r="AL65" s="21">
        <f t="shared" si="141"/>
        <v>154751.53691026341</v>
      </c>
      <c r="AM65" s="21">
        <f t="shared" si="142"/>
        <v>135486.57525209853</v>
      </c>
      <c r="AN65" s="21">
        <f t="shared" si="143"/>
        <v>74691.932306900198</v>
      </c>
      <c r="AO65" s="21">
        <f t="shared" si="144"/>
        <v>37429.835177842113</v>
      </c>
      <c r="AP65" s="21">
        <f t="shared" si="145"/>
        <v>18030.624746573267</v>
      </c>
      <c r="AQ65" s="21">
        <f t="shared" si="146"/>
        <v>8618.355032836409</v>
      </c>
      <c r="AR65" s="21">
        <f t="shared" si="147"/>
        <v>4121.8001655395747</v>
      </c>
      <c r="AS65" s="21">
        <f t="shared" si="148"/>
        <v>4588.3375927173511</v>
      </c>
      <c r="AT65" s="21">
        <f t="shared" si="149"/>
        <v>0</v>
      </c>
      <c r="AU65" s="21">
        <f t="shared" si="150"/>
        <v>16489328.763921892</v>
      </c>
      <c r="AV65" s="21">
        <f t="shared" si="151"/>
        <v>18515688.390153419</v>
      </c>
      <c r="AW65" s="21">
        <f t="shared" si="152"/>
        <v>15466792.673149046</v>
      </c>
      <c r="AX65" s="13">
        <f t="shared" si="100"/>
        <v>0.2</v>
      </c>
      <c r="AY65" s="13">
        <f t="shared" si="124"/>
        <v>0.6</v>
      </c>
      <c r="AZ65" s="13">
        <f t="shared" si="125"/>
        <v>1.2658</v>
      </c>
      <c r="BA65" s="13">
        <f t="shared" si="126"/>
        <v>2.1566490283265085</v>
      </c>
      <c r="BB65" s="13">
        <f t="shared" si="127"/>
        <v>3.3190880024809566</v>
      </c>
      <c r="BC65" s="13">
        <f t="shared" si="128"/>
        <v>4.8257420949450358</v>
      </c>
      <c r="BD65" s="13">
        <f t="shared" si="129"/>
        <v>6.7428471069827474</v>
      </c>
      <c r="BE65" s="13">
        <f t="shared" si="130"/>
        <v>9.1478573582187739</v>
      </c>
      <c r="BF65" s="13">
        <f t="shared" si="131"/>
        <v>11.10201713971199</v>
      </c>
      <c r="BG65" s="13">
        <f t="shared" si="132"/>
        <v>13.304611499800172</v>
      </c>
      <c r="BH65" s="13">
        <f t="shared" si="133"/>
        <v>15.187941273862258</v>
      </c>
      <c r="BI65" s="13">
        <f t="shared" si="134"/>
        <v>16.898472534717065</v>
      </c>
      <c r="BJ65" s="13">
        <f t="shared" si="153"/>
        <v>4.0000000000000001E-3</v>
      </c>
      <c r="BK65" s="13">
        <f t="shared" si="154"/>
        <v>0.01</v>
      </c>
      <c r="BL65" s="13">
        <f t="shared" si="155"/>
        <v>0.02</v>
      </c>
      <c r="BM65" s="13">
        <f t="shared" si="156"/>
        <v>0.03</v>
      </c>
      <c r="BN65" s="30">
        <f t="shared" si="102"/>
        <v>4693566.6086522881</v>
      </c>
      <c r="BO65" s="30">
        <f t="shared" si="103"/>
        <v>1354573.150412729</v>
      </c>
      <c r="BP65" s="30">
        <f t="shared" si="104"/>
        <v>2687198.8166905427</v>
      </c>
      <c r="BQ65" s="30">
        <f t="shared" si="105"/>
        <v>999210.83563675871</v>
      </c>
      <c r="BR65" s="36">
        <f t="shared" si="157"/>
        <v>0.3</v>
      </c>
      <c r="BS65" s="36">
        <f t="shared" si="158"/>
        <v>0.25</v>
      </c>
      <c r="BT65" s="36">
        <f t="shared" si="159"/>
        <v>0.2</v>
      </c>
      <c r="BU65" s="36">
        <f t="shared" si="160"/>
        <v>0.2</v>
      </c>
      <c r="BV65" s="36">
        <f t="shared" si="161"/>
        <v>0.2</v>
      </c>
      <c r="BW65" s="36">
        <f t="shared" si="162"/>
        <v>0.2</v>
      </c>
      <c r="BX65" s="36">
        <f t="shared" si="163"/>
        <v>0.2</v>
      </c>
      <c r="BY65" s="36">
        <f t="shared" si="164"/>
        <v>0.2</v>
      </c>
      <c r="BZ65" s="36">
        <f t="shared" si="165"/>
        <v>0.2</v>
      </c>
      <c r="CA65" s="36">
        <f t="shared" si="166"/>
        <v>0.2</v>
      </c>
      <c r="CB65" s="36">
        <f t="shared" si="167"/>
        <v>0.2</v>
      </c>
      <c r="CC65" s="36">
        <f t="shared" si="168"/>
        <v>0.2</v>
      </c>
      <c r="CD65" s="35">
        <f t="shared" si="169"/>
        <v>0.36733462231445824</v>
      </c>
      <c r="CE65" s="35">
        <f t="shared" si="170"/>
        <v>0.36733462231445824</v>
      </c>
      <c r="CF65" s="35">
        <f t="shared" si="171"/>
        <v>0.36733462231445824</v>
      </c>
      <c r="CG65" s="35">
        <f t="shared" si="172"/>
        <v>0.36733462231445824</v>
      </c>
      <c r="CH65" s="28">
        <f t="shared" si="173"/>
        <v>0</v>
      </c>
      <c r="CI65" s="28">
        <f t="shared" si="174"/>
        <v>0</v>
      </c>
      <c r="CJ65" s="28">
        <f t="shared" si="175"/>
        <v>15770.614046028397</v>
      </c>
      <c r="CK65" s="28">
        <f t="shared" si="176"/>
        <v>23888.724520356296</v>
      </c>
      <c r="CL65" s="28">
        <f t="shared" si="177"/>
        <v>32524.842127014708</v>
      </c>
      <c r="CM65" s="28">
        <f t="shared" si="178"/>
        <v>31774.254128942612</v>
      </c>
      <c r="CN65" s="28">
        <f t="shared" si="179"/>
        <v>22669.83794392729</v>
      </c>
      <c r="CO65" s="28">
        <f t="shared" si="180"/>
        <v>15649.069202086634</v>
      </c>
      <c r="CP65" s="28">
        <f t="shared" si="181"/>
        <v>9597.6668278556353</v>
      </c>
      <c r="CQ65" s="28">
        <f t="shared" si="182"/>
        <v>5787.4686676994825</v>
      </c>
      <c r="CR65" s="28">
        <f t="shared" si="183"/>
        <v>3303.696572235167</v>
      </c>
      <c r="CS65" s="28">
        <f t="shared" si="184"/>
        <v>4270.95858065636</v>
      </c>
      <c r="CT65" s="44">
        <f t="shared" si="106"/>
        <v>0</v>
      </c>
      <c r="CU65" s="44">
        <f t="shared" si="107"/>
        <v>0</v>
      </c>
      <c r="CV65" s="44">
        <f t="shared" si="108"/>
        <v>3.949861190263089E-2</v>
      </c>
      <c r="CW65" s="44">
        <f t="shared" si="109"/>
        <v>7.307773677893134E-2</v>
      </c>
      <c r="CX65" s="44">
        <f t="shared" si="110"/>
        <v>0.12152516517819396</v>
      </c>
      <c r="CY65" s="44">
        <f t="shared" si="111"/>
        <v>0.19001022878614313</v>
      </c>
      <c r="CZ65" s="44">
        <f t="shared" si="112"/>
        <v>0.28431012226832869</v>
      </c>
      <c r="DA65" s="44">
        <f t="shared" si="113"/>
        <v>0.41159937623673754</v>
      </c>
      <c r="DB65" s="44">
        <f t="shared" si="114"/>
        <v>0.52941245824860417</v>
      </c>
      <c r="DC65" s="44">
        <f t="shared" si="115"/>
        <v>0.66951364149097603</v>
      </c>
      <c r="DD65" s="44">
        <f t="shared" si="116"/>
        <v>0.80151789013349417</v>
      </c>
      <c r="DE65" s="44">
        <f t="shared" si="117"/>
        <v>0.93082919343931059</v>
      </c>
      <c r="DF65" s="21">
        <f t="shared" si="185"/>
        <v>0</v>
      </c>
      <c r="DG65" s="21">
        <f t="shared" si="186"/>
        <v>0</v>
      </c>
      <c r="DH65" s="21">
        <f t="shared" si="187"/>
        <v>0</v>
      </c>
      <c r="DI65" s="21">
        <f t="shared" si="188"/>
        <v>0</v>
      </c>
      <c r="DJ65" s="21">
        <f t="shared" si="189"/>
        <v>57712.766910939114</v>
      </c>
      <c r="DK65" s="21">
        <f t="shared" si="190"/>
        <v>63861.746160694667</v>
      </c>
      <c r="DL65" s="21">
        <f t="shared" si="191"/>
        <v>30450.78541574908</v>
      </c>
      <c r="DM65" s="21">
        <f t="shared" si="192"/>
        <v>14519.652033112943</v>
      </c>
      <c r="DN65" s="21">
        <f t="shared" si="193"/>
        <v>6923.3122331092827</v>
      </c>
      <c r="DO65" s="21">
        <f t="shared" si="194"/>
        <v>3301.1984152382602</v>
      </c>
      <c r="DP65" s="21">
        <f t="shared" si="195"/>
        <v>1574.0891947706243</v>
      </c>
      <c r="DQ65" s="21">
        <f t="shared" si="196"/>
        <v>1752.2568626785344</v>
      </c>
      <c r="DR65" s="21">
        <f t="shared" si="197"/>
        <v>0</v>
      </c>
      <c r="DS65" s="21">
        <f t="shared" si="198"/>
        <v>5259294.9227910163</v>
      </c>
      <c r="DT65" s="21">
        <f t="shared" si="199"/>
        <v>5380534.1776247313</v>
      </c>
      <c r="DU65" s="21">
        <f t="shared" si="200"/>
        <v>4494545.6438103663</v>
      </c>
      <c r="DV65" s="13">
        <f t="shared" si="201"/>
        <v>0</v>
      </c>
      <c r="DW65" s="13">
        <f t="shared" si="202"/>
        <v>0</v>
      </c>
      <c r="DX65" s="13">
        <f t="shared" si="203"/>
        <v>0</v>
      </c>
      <c r="DY65" s="13">
        <f t="shared" si="204"/>
        <v>0</v>
      </c>
      <c r="DZ65" s="13">
        <f t="shared" si="205"/>
        <v>191553.75224407794</v>
      </c>
      <c r="EA65" s="13">
        <f t="shared" si="206"/>
        <v>308180.31670435879</v>
      </c>
      <c r="EB65" s="13">
        <f t="shared" si="207"/>
        <v>205324.99034593612</v>
      </c>
      <c r="EC65" s="13">
        <f t="shared" si="208"/>
        <v>132823.70568988842</v>
      </c>
      <c r="ED65" s="13">
        <f t="shared" si="209"/>
        <v>76862.731075556949</v>
      </c>
      <c r="EE65" s="13">
        <f t="shared" si="210"/>
        <v>43921.162398501059</v>
      </c>
      <c r="EF65" s="13">
        <f t="shared" si="211"/>
        <v>23907.17424999737</v>
      </c>
      <c r="EG65" s="13">
        <f t="shared" si="212"/>
        <v>29610.464467742706</v>
      </c>
      <c r="EH65" s="13">
        <f t="shared" si="213"/>
        <v>0</v>
      </c>
      <c r="EI65" s="13">
        <f t="shared" si="214"/>
        <v>52592.949227910161</v>
      </c>
      <c r="EJ65" s="13">
        <f t="shared" si="215"/>
        <v>107610.68355249462</v>
      </c>
      <c r="EK65" s="13">
        <f t="shared" si="216"/>
        <v>134836.36931431098</v>
      </c>
      <c r="EL65" s="21">
        <f t="shared" si="120"/>
        <v>1012184.2971760595</v>
      </c>
      <c r="EM65" s="21">
        <f t="shared" si="121"/>
        <v>295040.00209471578</v>
      </c>
      <c r="EN65" s="21">
        <f t="shared" si="217"/>
        <v>15182764457.640892</v>
      </c>
      <c r="EO65" s="21">
        <f t="shared" si="218"/>
        <v>6638400047.1311054</v>
      </c>
      <c r="EP65" s="21">
        <f t="shared" si="219"/>
        <v>12930228027.777634</v>
      </c>
      <c r="EQ65" s="21">
        <f t="shared" si="220"/>
        <v>4539324102.7142773</v>
      </c>
      <c r="ER65" s="21">
        <f t="shared" si="221"/>
        <v>582496459.41820836</v>
      </c>
      <c r="ES65" s="21">
        <f t="shared" si="222"/>
        <v>204492930.23313063</v>
      </c>
    </row>
    <row r="66" spans="1:149" ht="15.75" thickBot="1" x14ac:dyDescent="0.3">
      <c r="A66" s="53" t="s">
        <v>81</v>
      </c>
      <c r="B66" s="54">
        <v>0</v>
      </c>
      <c r="C66" s="54">
        <v>0</v>
      </c>
      <c r="D66" s="57">
        <f t="shared" si="248"/>
        <v>4.0000000000000001E-8</v>
      </c>
      <c r="E66" s="81">
        <f t="shared" si="249"/>
        <v>6.727761099699795E-8</v>
      </c>
      <c r="F66" s="81">
        <f t="shared" si="247"/>
        <v>1.025564860167483E-7</v>
      </c>
      <c r="G66" s="81">
        <f t="shared" si="247"/>
        <v>1.4801706430715753E-7</v>
      </c>
      <c r="H66" s="81">
        <f t="shared" si="247"/>
        <v>2.056565018170327E-7</v>
      </c>
      <c r="I66" s="81">
        <f t="shared" si="247"/>
        <v>2.7788276188971399E-7</v>
      </c>
      <c r="J66" s="81">
        <f t="shared" si="247"/>
        <v>3.3508295149312688E-7</v>
      </c>
      <c r="K66" s="81">
        <f t="shared" si="247"/>
        <v>3.988307789540212E-7</v>
      </c>
      <c r="L66" s="81">
        <f t="shared" si="247"/>
        <v>4.5094011692210456E-7</v>
      </c>
      <c r="M66" s="81">
        <f t="shared" si="247"/>
        <v>4.9612893032074577E-7</v>
      </c>
      <c r="O66" s="3">
        <v>64</v>
      </c>
      <c r="P66" s="21">
        <f t="shared" si="122"/>
        <v>450507.28597265156</v>
      </c>
      <c r="Q66" s="21">
        <f t="shared" si="123"/>
        <v>419815.18888336571</v>
      </c>
      <c r="R66" s="13">
        <f t="shared" si="240"/>
        <v>692036.07595740701</v>
      </c>
      <c r="S66" s="13">
        <f t="shared" si="224"/>
        <v>512672.93444719497</v>
      </c>
      <c r="T66" s="13">
        <f t="shared" si="225"/>
        <v>399270.08281657478</v>
      </c>
      <c r="U66" s="13">
        <f t="shared" si="226"/>
        <v>326894.69559680915</v>
      </c>
      <c r="V66" s="13">
        <f t="shared" si="227"/>
        <v>267638.74031553959</v>
      </c>
      <c r="W66" s="13">
        <f t="shared" si="228"/>
        <v>167223.91383402221</v>
      </c>
      <c r="X66" s="13">
        <f t="shared" si="229"/>
        <v>79736.302598945331</v>
      </c>
      <c r="Y66" s="13">
        <f t="shared" si="230"/>
        <v>38020.147995579151</v>
      </c>
      <c r="Z66" s="13">
        <f t="shared" si="231"/>
        <v>18128.902476773303</v>
      </c>
      <c r="AA66" s="13">
        <f t="shared" si="232"/>
        <v>8644.28789368037</v>
      </c>
      <c r="AB66" s="13">
        <f t="shared" si="233"/>
        <v>4121.8001636573699</v>
      </c>
      <c r="AC66" s="13">
        <f t="shared" si="234"/>
        <v>4588.3375882225528</v>
      </c>
      <c r="AD66" s="13">
        <f t="shared" si="235"/>
        <v>47617256.784731194</v>
      </c>
      <c r="AE66" s="13">
        <f t="shared" si="236"/>
        <v>32978657.529380005</v>
      </c>
      <c r="AF66" s="13">
        <f t="shared" si="237"/>
        <v>18515688.391919345</v>
      </c>
      <c r="AG66" s="13">
        <f t="shared" si="238"/>
        <v>15466792.677464567</v>
      </c>
      <c r="AH66" s="21">
        <f t="shared" si="137"/>
        <v>0</v>
      </c>
      <c r="AI66" s="21">
        <f t="shared" si="138"/>
        <v>1538.018803341585</v>
      </c>
      <c r="AJ66" s="21">
        <f t="shared" si="139"/>
        <v>19753.361991977912</v>
      </c>
      <c r="AK66" s="21">
        <f t="shared" si="140"/>
        <v>89397.096753737889</v>
      </c>
      <c r="AL66" s="21">
        <f t="shared" si="141"/>
        <v>154751.53690034308</v>
      </c>
      <c r="AM66" s="21">
        <f t="shared" si="142"/>
        <v>135486.57524004934</v>
      </c>
      <c r="AN66" s="21">
        <f t="shared" si="143"/>
        <v>74691.932297685737</v>
      </c>
      <c r="AO66" s="21">
        <f t="shared" si="144"/>
        <v>37429.835171437262</v>
      </c>
      <c r="AP66" s="21">
        <f t="shared" si="145"/>
        <v>18030.624742293952</v>
      </c>
      <c r="AQ66" s="21">
        <f t="shared" si="146"/>
        <v>8618.3550299993294</v>
      </c>
      <c r="AR66" s="21">
        <f t="shared" si="147"/>
        <v>4121.8001636573699</v>
      </c>
      <c r="AS66" s="21">
        <f t="shared" si="148"/>
        <v>4588.3375882225528</v>
      </c>
      <c r="AT66" s="21">
        <f t="shared" si="149"/>
        <v>0</v>
      </c>
      <c r="AU66" s="21">
        <f t="shared" si="150"/>
        <v>16489328.764690002</v>
      </c>
      <c r="AV66" s="21">
        <f t="shared" si="151"/>
        <v>18515688.391919345</v>
      </c>
      <c r="AW66" s="21">
        <f t="shared" si="152"/>
        <v>15466792.677464567</v>
      </c>
      <c r="AX66" s="13">
        <f t="shared" si="100"/>
        <v>0.2</v>
      </c>
      <c r="AY66" s="13">
        <f t="shared" si="124"/>
        <v>0.6</v>
      </c>
      <c r="AZ66" s="13">
        <f t="shared" si="125"/>
        <v>1.2658</v>
      </c>
      <c r="BA66" s="13">
        <f t="shared" si="126"/>
        <v>2.1566490283318416</v>
      </c>
      <c r="BB66" s="13">
        <f t="shared" si="127"/>
        <v>3.3190880024972351</v>
      </c>
      <c r="BC66" s="13">
        <f t="shared" si="128"/>
        <v>4.825742094980745</v>
      </c>
      <c r="BD66" s="13">
        <f t="shared" si="129"/>
        <v>6.7428471070502454</v>
      </c>
      <c r="BE66" s="13">
        <f t="shared" si="130"/>
        <v>9.147857358335445</v>
      </c>
      <c r="BF66" s="13">
        <f t="shared" si="131"/>
        <v>11.102017139901632</v>
      </c>
      <c r="BG66" s="13">
        <f t="shared" si="132"/>
        <v>13.304611500099002</v>
      </c>
      <c r="BH66" s="13">
        <f t="shared" si="133"/>
        <v>15.187941274322013</v>
      </c>
      <c r="BI66" s="13">
        <f t="shared" si="134"/>
        <v>16.898472535408981</v>
      </c>
      <c r="BJ66" s="13">
        <f t="shared" si="153"/>
        <v>4.0000000000000001E-3</v>
      </c>
      <c r="BK66" s="13">
        <f t="shared" si="154"/>
        <v>0.01</v>
      </c>
      <c r="BL66" s="13">
        <f t="shared" si="155"/>
        <v>0.02</v>
      </c>
      <c r="BM66" s="13">
        <f t="shared" si="156"/>
        <v>0.03</v>
      </c>
      <c r="BN66" s="30">
        <f t="shared" si="102"/>
        <v>4693566.6081813592</v>
      </c>
      <c r="BO66" s="30">
        <f t="shared" si="103"/>
        <v>1354573.1505950487</v>
      </c>
      <c r="BP66" s="30">
        <f t="shared" si="104"/>
        <v>2687198.8163074935</v>
      </c>
      <c r="BQ66" s="30">
        <f t="shared" si="105"/>
        <v>999210.83580922382</v>
      </c>
      <c r="BR66" s="36">
        <f t="shared" si="157"/>
        <v>0.3</v>
      </c>
      <c r="BS66" s="36">
        <f t="shared" si="158"/>
        <v>0.25</v>
      </c>
      <c r="BT66" s="36">
        <f t="shared" si="159"/>
        <v>0.2</v>
      </c>
      <c r="BU66" s="36">
        <f t="shared" si="160"/>
        <v>0.2</v>
      </c>
      <c r="BV66" s="36">
        <f t="shared" si="161"/>
        <v>0.2</v>
      </c>
      <c r="BW66" s="36">
        <f t="shared" si="162"/>
        <v>0.2</v>
      </c>
      <c r="BX66" s="36">
        <f t="shared" si="163"/>
        <v>0.2</v>
      </c>
      <c r="BY66" s="36">
        <f t="shared" si="164"/>
        <v>0.2</v>
      </c>
      <c r="BZ66" s="36">
        <f t="shared" si="165"/>
        <v>0.2</v>
      </c>
      <c r="CA66" s="36">
        <f t="shared" si="166"/>
        <v>0.2</v>
      </c>
      <c r="CB66" s="36">
        <f t="shared" si="167"/>
        <v>0.2</v>
      </c>
      <c r="CC66" s="36">
        <f t="shared" si="168"/>
        <v>0.2</v>
      </c>
      <c r="CD66" s="35">
        <f t="shared" si="169"/>
        <v>0.36733462229229052</v>
      </c>
      <c r="CE66" s="35">
        <f t="shared" si="170"/>
        <v>0.36733462229229052</v>
      </c>
      <c r="CF66" s="35">
        <f t="shared" si="171"/>
        <v>0.36733462229229052</v>
      </c>
      <c r="CG66" s="35">
        <f t="shared" si="172"/>
        <v>0.36733462229229052</v>
      </c>
      <c r="CH66" s="28">
        <f t="shared" si="173"/>
        <v>0</v>
      </c>
      <c r="CI66" s="28">
        <f t="shared" si="174"/>
        <v>0</v>
      </c>
      <c r="CJ66" s="28">
        <f t="shared" si="175"/>
        <v>15770.614047695854</v>
      </c>
      <c r="CK66" s="28">
        <f t="shared" si="176"/>
        <v>23888.724522573888</v>
      </c>
      <c r="CL66" s="28">
        <f t="shared" si="177"/>
        <v>32524.842129451812</v>
      </c>
      <c r="CM66" s="28">
        <f t="shared" si="178"/>
        <v>31774.254130534599</v>
      </c>
      <c r="CN66" s="28">
        <f t="shared" si="179"/>
        <v>22669.837944282517</v>
      </c>
      <c r="CO66" s="28">
        <f t="shared" si="180"/>
        <v>15649.069201584602</v>
      </c>
      <c r="CP66" s="28">
        <f t="shared" si="181"/>
        <v>9597.6668269121819</v>
      </c>
      <c r="CQ66" s="28">
        <f t="shared" si="182"/>
        <v>5787.4686665989684</v>
      </c>
      <c r="CR66" s="28">
        <f t="shared" si="183"/>
        <v>3303.6965711858775</v>
      </c>
      <c r="CS66" s="28">
        <f t="shared" si="184"/>
        <v>4270.9585770662852</v>
      </c>
      <c r="CT66" s="44">
        <f t="shared" si="106"/>
        <v>0</v>
      </c>
      <c r="CU66" s="44">
        <f t="shared" si="107"/>
        <v>0</v>
      </c>
      <c r="CV66" s="44">
        <f t="shared" si="108"/>
        <v>3.9498611908122587E-2</v>
      </c>
      <c r="CW66" s="44">
        <f t="shared" si="109"/>
        <v>7.3077736789091741E-2</v>
      </c>
      <c r="CX66" s="44">
        <f t="shared" si="110"/>
        <v>0.12152516519509025</v>
      </c>
      <c r="CY66" s="44">
        <f t="shared" si="111"/>
        <v>0.19001022881256133</v>
      </c>
      <c r="CZ66" s="44">
        <f t="shared" si="112"/>
        <v>0.2843101223078579</v>
      </c>
      <c r="DA66" s="44">
        <f t="shared" si="113"/>
        <v>0.41159937629396448</v>
      </c>
      <c r="DB66" s="44">
        <f t="shared" si="114"/>
        <v>0.5294124583222114</v>
      </c>
      <c r="DC66" s="44">
        <f t="shared" si="115"/>
        <v>0.66951364158406235</v>
      </c>
      <c r="DD66" s="44">
        <f t="shared" si="116"/>
        <v>0.8015178902449337</v>
      </c>
      <c r="DE66" s="44">
        <f t="shared" si="117"/>
        <v>0.93082919356872884</v>
      </c>
      <c r="DF66" s="21">
        <f t="shared" si="185"/>
        <v>0</v>
      </c>
      <c r="DG66" s="21">
        <f t="shared" si="186"/>
        <v>0</v>
      </c>
      <c r="DH66" s="21">
        <f t="shared" si="187"/>
        <v>0</v>
      </c>
      <c r="DI66" s="21">
        <f t="shared" si="188"/>
        <v>0</v>
      </c>
      <c r="DJ66" s="21">
        <f t="shared" si="189"/>
        <v>57712.766907239442</v>
      </c>
      <c r="DK66" s="21">
        <f t="shared" si="190"/>
        <v>63861.74615501528</v>
      </c>
      <c r="DL66" s="21">
        <f t="shared" si="191"/>
        <v>30450.785411992485</v>
      </c>
      <c r="DM66" s="21">
        <f t="shared" si="192"/>
        <v>14519.652030628396</v>
      </c>
      <c r="DN66" s="21">
        <f t="shared" si="193"/>
        <v>6923.3122314661314</v>
      </c>
      <c r="DO66" s="21">
        <f t="shared" si="194"/>
        <v>3301.1984141515372</v>
      </c>
      <c r="DP66" s="21">
        <f t="shared" si="195"/>
        <v>1574.0891940518222</v>
      </c>
      <c r="DQ66" s="21">
        <f t="shared" si="196"/>
        <v>1752.2568609619998</v>
      </c>
      <c r="DR66" s="21">
        <f t="shared" si="197"/>
        <v>0</v>
      </c>
      <c r="DS66" s="21">
        <f t="shared" si="198"/>
        <v>5259294.9230887229</v>
      </c>
      <c r="DT66" s="21">
        <f t="shared" si="199"/>
        <v>5380534.1781897908</v>
      </c>
      <c r="DU66" s="21">
        <f t="shared" si="200"/>
        <v>4494545.6451077759</v>
      </c>
      <c r="DV66" s="13">
        <f t="shared" si="201"/>
        <v>0</v>
      </c>
      <c r="DW66" s="13">
        <f t="shared" si="202"/>
        <v>0</v>
      </c>
      <c r="DX66" s="13">
        <f t="shared" si="203"/>
        <v>0</v>
      </c>
      <c r="DY66" s="13">
        <f t="shared" si="204"/>
        <v>0</v>
      </c>
      <c r="DZ66" s="13">
        <f t="shared" si="205"/>
        <v>191553.7522327379</v>
      </c>
      <c r="EA66" s="13">
        <f t="shared" si="206"/>
        <v>308180.316679232</v>
      </c>
      <c r="EB66" s="13">
        <f t="shared" si="207"/>
        <v>205324.99032266135</v>
      </c>
      <c r="EC66" s="13">
        <f t="shared" si="208"/>
        <v>132823.70566885415</v>
      </c>
      <c r="ED66" s="13">
        <f t="shared" si="209"/>
        <v>76862.7310586276</v>
      </c>
      <c r="EE66" s="13">
        <f t="shared" si="210"/>
        <v>43921.162385029129</v>
      </c>
      <c r="EF66" s="13">
        <f t="shared" si="211"/>
        <v>23907.174239803942</v>
      </c>
      <c r="EG66" s="13">
        <f t="shared" si="212"/>
        <v>29610.464439948308</v>
      </c>
      <c r="EH66" s="13">
        <f t="shared" si="213"/>
        <v>0</v>
      </c>
      <c r="EI66" s="13">
        <f t="shared" si="214"/>
        <v>52592.949230887229</v>
      </c>
      <c r="EJ66" s="13">
        <f t="shared" si="215"/>
        <v>107610.68356379581</v>
      </c>
      <c r="EK66" s="13">
        <f t="shared" si="216"/>
        <v>134836.36935323328</v>
      </c>
      <c r="EL66" s="21">
        <f t="shared" si="120"/>
        <v>1012184.2970268944</v>
      </c>
      <c r="EM66" s="21">
        <f t="shared" si="121"/>
        <v>295040.00214791636</v>
      </c>
      <c r="EN66" s="21">
        <f t="shared" si="217"/>
        <v>15182764455.403416</v>
      </c>
      <c r="EO66" s="21">
        <f t="shared" si="218"/>
        <v>6638400048.3281183</v>
      </c>
      <c r="EP66" s="21">
        <f t="shared" si="219"/>
        <v>12930228025.540157</v>
      </c>
      <c r="EQ66" s="21">
        <f t="shared" si="220"/>
        <v>4539324103.9112892</v>
      </c>
      <c r="ER66" s="21">
        <f t="shared" si="221"/>
        <v>554087771.77020514</v>
      </c>
      <c r="ES66" s="21">
        <f t="shared" si="222"/>
        <v>194519692.39141998</v>
      </c>
    </row>
    <row r="67" spans="1:149" ht="15.75" thickBot="1" x14ac:dyDescent="0.3">
      <c r="A67" s="62" t="s">
        <v>103</v>
      </c>
      <c r="B67" s="82">
        <v>3</v>
      </c>
      <c r="C67" s="82">
        <v>4</v>
      </c>
      <c r="D67" s="82">
        <v>5</v>
      </c>
      <c r="E67" s="82">
        <v>6</v>
      </c>
      <c r="F67" s="82">
        <v>7</v>
      </c>
      <c r="G67" s="82">
        <v>8</v>
      </c>
      <c r="H67" s="82">
        <v>9</v>
      </c>
      <c r="I67" s="82">
        <v>10</v>
      </c>
      <c r="J67" s="82">
        <v>11</v>
      </c>
      <c r="K67" s="82">
        <v>12</v>
      </c>
      <c r="L67" s="82">
        <v>13</v>
      </c>
      <c r="M67" s="63">
        <v>14</v>
      </c>
      <c r="O67" s="3">
        <v>65</v>
      </c>
      <c r="P67" s="21">
        <f t="shared" si="122"/>
        <v>450507.28597265156</v>
      </c>
      <c r="Q67" s="21">
        <f t="shared" si="123"/>
        <v>419815.18888336571</v>
      </c>
      <c r="R67" s="13">
        <f t="shared" si="240"/>
        <v>692036.07594877563</v>
      </c>
      <c r="S67" s="13">
        <f t="shared" si="224"/>
        <v>512672.93443832442</v>
      </c>
      <c r="T67" s="13">
        <f t="shared" si="225"/>
        <v>399270.08280699048</v>
      </c>
      <c r="U67" s="13">
        <f t="shared" si="226"/>
        <v>326894.69558592245</v>
      </c>
      <c r="V67" s="13">
        <f t="shared" si="227"/>
        <v>267638.7403031732</v>
      </c>
      <c r="W67" s="13">
        <f t="shared" si="228"/>
        <v>167223.91382330234</v>
      </c>
      <c r="X67" s="13">
        <f t="shared" si="229"/>
        <v>79736.302591854183</v>
      </c>
      <c r="Y67" s="13">
        <f t="shared" si="230"/>
        <v>38020.147990888756</v>
      </c>
      <c r="Z67" s="13">
        <f t="shared" si="231"/>
        <v>18128.902473671154</v>
      </c>
      <c r="AA67" s="13">
        <f t="shared" si="232"/>
        <v>8644.2878916287682</v>
      </c>
      <c r="AB67" s="13">
        <f t="shared" si="233"/>
        <v>4121.800162300513</v>
      </c>
      <c r="AC67" s="13">
        <f t="shared" si="234"/>
        <v>4588.3375849831427</v>
      </c>
      <c r="AD67" s="13">
        <f t="shared" si="235"/>
        <v>47617256.785122856</v>
      </c>
      <c r="AE67" s="13">
        <f t="shared" si="236"/>
        <v>32978657.530487381</v>
      </c>
      <c r="AF67" s="13">
        <f t="shared" si="237"/>
        <v>18515688.393192295</v>
      </c>
      <c r="AG67" s="13">
        <f t="shared" si="238"/>
        <v>15466792.680575341</v>
      </c>
      <c r="AH67" s="21">
        <f t="shared" ref="AH67:AH102" si="250">R67*B$32</f>
        <v>0</v>
      </c>
      <c r="AI67" s="21">
        <f t="shared" ref="AI67:AI102" si="251">S67*C$32</f>
        <v>1538.0188033149732</v>
      </c>
      <c r="AJ67" s="21">
        <f t="shared" ref="AJ67:AJ102" si="252">T67*D$32</f>
        <v>19753.361991503742</v>
      </c>
      <c r="AK67" s="21">
        <f t="shared" ref="AK67:AK102" si="253">U67*E$32</f>
        <v>89397.096750760669</v>
      </c>
      <c r="AL67" s="21">
        <f t="shared" ref="AL67:AL102" si="254">V67*F$32</f>
        <v>154751.53689319271</v>
      </c>
      <c r="AM67" s="21">
        <f t="shared" ref="AM67:AM102" si="255">W67*G$32</f>
        <v>135486.575231364</v>
      </c>
      <c r="AN67" s="21">
        <f t="shared" ref="AN67:AN102" si="256">X67*H$32</f>
        <v>74691.932291043195</v>
      </c>
      <c r="AO67" s="21">
        <f t="shared" ref="AO67:AO102" si="257">Y67*I$32</f>
        <v>37429.835166819692</v>
      </c>
      <c r="AP67" s="21">
        <f t="shared" ref="AP67:AP102" si="258">Z67*J$32</f>
        <v>18030.624739208619</v>
      </c>
      <c r="AQ67" s="21">
        <f t="shared" ref="AQ67:AQ102" si="259">AA67*K$32</f>
        <v>8618.3550279538831</v>
      </c>
      <c r="AR67" s="21">
        <f t="shared" ref="AR67:AR102" si="260">AB67*L$32</f>
        <v>4121.800162300513</v>
      </c>
      <c r="AS67" s="21">
        <f t="shared" ref="AS67:AS102" si="261">AC67*M$32</f>
        <v>4588.3375849831427</v>
      </c>
      <c r="AT67" s="21">
        <f t="shared" ref="AT67:AT102" si="262">AD67*B$44</f>
        <v>0</v>
      </c>
      <c r="AU67" s="21">
        <f t="shared" ref="AU67:AU102" si="263">AE67*C$44</f>
        <v>16489328.76524369</v>
      </c>
      <c r="AV67" s="21">
        <f t="shared" ref="AV67:AV102" si="264">AF67*D$44</f>
        <v>18515688.393192295</v>
      </c>
      <c r="AW67" s="21">
        <f t="shared" ref="AW67:AW102" si="265">AG67*E$44</f>
        <v>15466792.680575341</v>
      </c>
      <c r="AX67" s="13">
        <f t="shared" si="100"/>
        <v>0.2</v>
      </c>
      <c r="AY67" s="13">
        <f t="shared" si="124"/>
        <v>0.6</v>
      </c>
      <c r="AZ67" s="13">
        <f t="shared" si="125"/>
        <v>1.2658</v>
      </c>
      <c r="BA67" s="13">
        <f t="shared" si="126"/>
        <v>2.1566490283356856</v>
      </c>
      <c r="BB67" s="13">
        <f t="shared" si="127"/>
        <v>3.3190880025089693</v>
      </c>
      <c r="BC67" s="13">
        <f t="shared" si="128"/>
        <v>4.8257420950064862</v>
      </c>
      <c r="BD67" s="13">
        <f t="shared" si="129"/>
        <v>6.7428471070988998</v>
      </c>
      <c r="BE67" s="13">
        <f t="shared" si="130"/>
        <v>9.1478573584195448</v>
      </c>
      <c r="BF67" s="13">
        <f t="shared" si="131"/>
        <v>11.102017140038333</v>
      </c>
      <c r="BG67" s="13">
        <f t="shared" si="132"/>
        <v>13.304611500314406</v>
      </c>
      <c r="BH67" s="13">
        <f t="shared" si="133"/>
        <v>15.187941274653422</v>
      </c>
      <c r="BI67" s="13">
        <f t="shared" si="134"/>
        <v>16.898472535907739</v>
      </c>
      <c r="BJ67" s="13">
        <f t="shared" ref="BJ67:BJ102" si="266">B$46+B$47*SUM($AH67:$AK67)/SUM($AT67:$AU67)</f>
        <v>4.0000000000000001E-3</v>
      </c>
      <c r="BK67" s="13">
        <f t="shared" ref="BK67:BK102" si="267">C$46+C$47*SUM($AH67:$AK67)/SUM($AT67:$AU67)</f>
        <v>0.01</v>
      </c>
      <c r="BL67" s="13">
        <f t="shared" ref="BL67:BL102" si="268">D$46+D$47*SUM($AH67:$AK67)/SUM($AT67:$AU67)</f>
        <v>0.02</v>
      </c>
      <c r="BM67" s="13">
        <f t="shared" ref="BM67:BM102" si="269">E$46+E$47*SUM($AH67:$AK67)/SUM($AT67:$AU67)</f>
        <v>0.03</v>
      </c>
      <c r="BN67" s="30">
        <f t="shared" si="102"/>
        <v>4693566.6078418903</v>
      </c>
      <c r="BO67" s="30">
        <f t="shared" si="103"/>
        <v>1354573.1507264713</v>
      </c>
      <c r="BP67" s="30">
        <f t="shared" si="104"/>
        <v>2687198.8160313689</v>
      </c>
      <c r="BQ67" s="30">
        <f t="shared" si="105"/>
        <v>999210.83593354304</v>
      </c>
      <c r="BR67" s="36">
        <f t="shared" ref="BR67:BR102" si="270">B$33</f>
        <v>0.3</v>
      </c>
      <c r="BS67" s="36">
        <f t="shared" ref="BS67:BS102" si="271">C$33</f>
        <v>0.25</v>
      </c>
      <c r="BT67" s="36">
        <f t="shared" ref="BT67:BT102" si="272">D$33</f>
        <v>0.2</v>
      </c>
      <c r="BU67" s="36">
        <f t="shared" ref="BU67:BU102" si="273">E$33</f>
        <v>0.2</v>
      </c>
      <c r="BV67" s="36">
        <f t="shared" ref="BV67:BV102" si="274">F$33</f>
        <v>0.2</v>
      </c>
      <c r="BW67" s="36">
        <f t="shared" ref="BW67:BW102" si="275">G$33</f>
        <v>0.2</v>
      </c>
      <c r="BX67" s="36">
        <f t="shared" ref="BX67:BX102" si="276">H$33</f>
        <v>0.2</v>
      </c>
      <c r="BY67" s="36">
        <f t="shared" ref="BY67:BY102" si="277">I$33</f>
        <v>0.2</v>
      </c>
      <c r="BZ67" s="36">
        <f t="shared" ref="BZ67:BZ102" si="278">J$33</f>
        <v>0.2</v>
      </c>
      <c r="CA67" s="36">
        <f t="shared" ref="CA67:CA102" si="279">K$33</f>
        <v>0.2</v>
      </c>
      <c r="CB67" s="36">
        <f t="shared" ref="CB67:CB102" si="280">L$33</f>
        <v>0.2</v>
      </c>
      <c r="CC67" s="36">
        <f t="shared" ref="CC67:CC102" si="281">M$33</f>
        <v>0.2</v>
      </c>
      <c r="CD67" s="35">
        <f t="shared" ref="CD67:CD102" si="282">B$45+SUMPRODUCT($B$38:$M$38,$R67:$AC67)</f>
        <v>0.36733462227631097</v>
      </c>
      <c r="CE67" s="35">
        <f t="shared" ref="CE67:CE102" si="283">C$45+SUMPRODUCT($B$38:$M$38,$R67:$AC67)</f>
        <v>0.36733462227631097</v>
      </c>
      <c r="CF67" s="35">
        <f t="shared" ref="CF67:CF102" si="284">D$45+SUMPRODUCT($B$38:$M$38,$R67:$AC67)</f>
        <v>0.36733462227631097</v>
      </c>
      <c r="CG67" s="35">
        <f t="shared" ref="CG67:CG102" si="285">E$45+SUMPRODUCT($B$38:$M$38,$R67:$AC67)</f>
        <v>0.36733462227631097</v>
      </c>
      <c r="CH67" s="28">
        <f t="shared" ref="CH67:CH102" si="286">B$38*R67/($CD67+$Q67*$B$43)*$AD67*(1-EXP(-($CD67+$Q67*$B$43)))*$BJ67+B$39*R67/($CE67+$Q67*$C$43)*$AE67*(1-EXP(-($CE67+$Q67*$C$43)))*$BK67+B$40*R67/($CF67+$Q67*$D$43)*$AF67*(1-EXP(-($CF67+$Q67*$D$43)))*$BL67+B$41*R67/($CG67+$Q67*$E$43)*$AG67*(1-EXP(-($CG67+$Q67*$E$43)))*$BM67</f>
        <v>0</v>
      </c>
      <c r="CI67" s="28">
        <f t="shared" ref="CI67:CI102" si="287">C$38*S67/($CD67+$Q67*$B$43)*$AD67*(1-EXP(-($CD67+$Q67*$B$43)))*$BJ67+C$39*S67/($CE67+$Q67*$C$43)*$AE67*(1-EXP(-($CE67+$Q67*$C$43)))*$BK67+C$40*S67/($CF67+$Q67*$D$43)*$AF67*(1-EXP(-($CF67+$Q67*$D$43)))*$BL67+C$41*S67/($CG67+$Q67*$E$43)*$AG67*(1-EXP(-($CG67+$Q67*$E$43)))*$BM67</f>
        <v>0</v>
      </c>
      <c r="CJ67" s="28">
        <f t="shared" ref="CJ67:CJ102" si="288">D$38*T67/($CD67+$Q67*$B$43)*$AD67*(1-EXP(-($CD67+$Q67*$B$43)))*$BJ67+D$39*T67/($CE67+$Q67*$C$43)*$AE67*(1-EXP(-($CE67+$Q67*$C$43)))*$BK67+D$40*T67/($CF67+$Q67*$D$43)*$AF67*(1-EXP(-($CF67+$Q67*$D$43)))*$BL67+D$41*T67/($CG67+$Q67*$E$43)*$AG67*(1-EXP(-($CG67+$Q67*$E$43)))*$BM67</f>
        <v>15770.614048897856</v>
      </c>
      <c r="CK67" s="28">
        <f t="shared" ref="CK67:CK102" si="289">E$38*U67/($CD67+$Q67*$B$43)*$AD67*(1-EXP(-($CD67+$Q67*$B$43)))*$BJ67+E$39*U67/($CE67+$Q67*$C$43)*$AE67*(1-EXP(-($CE67+$Q67*$C$43)))*$BK67+E$40*U67/($CF67+$Q67*$D$43)*$AF67*(1-EXP(-($CF67+$Q67*$D$43)))*$BL67+E$41*U67/($CG67+$Q67*$E$43)*$AG67*(1-EXP(-($CG67+$Q67*$E$43)))*$BM67</f>
        <v>23888.724524172485</v>
      </c>
      <c r="CL67" s="28">
        <f t="shared" ref="CL67:CL102" si="290">F$38*V67/($CD67+$Q67*$B$43)*$AD67*(1-EXP(-($CD67+$Q67*$B$43)))*$BJ67+F$39*V67/($CE67+$Q67*$C$43)*$AE67*(1-EXP(-($CE67+$Q67*$C$43)))*$BK67+F$40*V67/($CF67+$Q67*$D$43)*$AF67*(1-EXP(-($CF67+$Q67*$D$43)))*$BL67+F$41*V67/($CG67+$Q67*$E$43)*$AG67*(1-EXP(-($CG67+$Q67*$E$43)))*$BM67</f>
        <v>32524.842131208701</v>
      </c>
      <c r="CM67" s="28">
        <f t="shared" ref="CM67:CM102" si="291">G$38*W67/($CD67+$Q67*$B$43)*$AD67*(1-EXP(-($CD67+$Q67*$B$43)))*$BJ67+G$39*W67/($CE67+$Q67*$C$43)*$AE67*(1-EXP(-($CE67+$Q67*$C$43)))*$BK67+G$40*W67/($CF67+$Q67*$D$43)*$AF67*(1-EXP(-($CF67+$Q67*$D$43)))*$BL67+G$41*W67/($CG67+$Q67*$E$43)*$AG67*(1-EXP(-($CG67+$Q67*$E$43)))*$BM67</f>
        <v>31774.254131682195</v>
      </c>
      <c r="CN67" s="28">
        <f t="shared" ref="CN67:CN102" si="292">H$38*X67/($CD67+$Q67*$B$43)*$AD67*(1-EXP(-($CD67+$Q67*$B$43)))*$BJ67+H$39*X67/($CE67+$Q67*$C$43)*$AE67*(1-EXP(-($CE67+$Q67*$C$43)))*$BK67+H$40*X67/($CF67+$Q67*$D$43)*$AF67*(1-EXP(-($CF67+$Q67*$D$43)))*$BL67+H$41*X67/($CG67+$Q67*$E$43)*$AG67*(1-EXP(-($CG67+$Q67*$E$43)))*$BM67</f>
        <v>22669.837944538445</v>
      </c>
      <c r="CO67" s="28">
        <f t="shared" ref="CO67:CO102" si="293">I$38*Y67/($CD67+$Q67*$B$43)*$AD67*(1-EXP(-($CD67+$Q67*$B$43)))*$BJ67+I$39*Y67/($CE67+$Q67*$C$43)*$AE67*(1-EXP(-($CE67+$Q67*$C$43)))*$BK67+I$40*Y67/($CF67+$Q67*$D$43)*$AF67*(1-EXP(-($CF67+$Q67*$D$43)))*$BL67+I$41*Y67/($CG67+$Q67*$E$43)*$AG67*(1-EXP(-($CG67+$Q67*$E$43)))*$BM67</f>
        <v>15649.069201222417</v>
      </c>
      <c r="CP67" s="28">
        <f t="shared" ref="CP67:CP102" si="294">J$38*Z67/($CD67+$Q67*$B$43)*$AD67*(1-EXP(-($CD67+$Q67*$B$43)))*$BJ67+J$39*Z67/($CE67+$Q67*$C$43)*$AE67*(1-EXP(-($CE67+$Q67*$C$43)))*$BK67+J$40*Z67/($CF67+$Q67*$D$43)*$AF67*(1-EXP(-($CF67+$Q67*$D$43)))*$BL67+J$41*Z67/($CG67+$Q67*$E$43)*$AG67*(1-EXP(-($CG67+$Q67*$E$43)))*$BM67</f>
        <v>9597.6668262317653</v>
      </c>
      <c r="CQ67" s="28">
        <f t="shared" ref="CQ67:CQ102" si="295">K$38*AA67/($CD67+$Q67*$B$43)*$AD67*(1-EXP(-($CD67+$Q67*$B$43)))*$BJ67+K$39*AA67/($CE67+$Q67*$C$43)*$AE67*(1-EXP(-($CE67+$Q67*$C$43)))*$BK67+K$40*AA67/($CF67+$Q67*$D$43)*$AF67*(1-EXP(-($CF67+$Q67*$D$43)))*$BL67+K$41*AA67/($CG67+$Q67*$E$43)*$AG67*(1-EXP(-($CG67+$Q67*$E$43)))*$BM67</f>
        <v>5787.4686658054252</v>
      </c>
      <c r="CR67" s="28">
        <f t="shared" ref="CR67:CR102" si="296">L$38*AB67/($CD67+$Q67*$B$43)*$AD67*(1-EXP(-($CD67+$Q67*$B$43)))*$BJ67+L$39*AB67/($CE67+$Q67*$C$43)*$AE67*(1-EXP(-($CE67+$Q67*$C$43)))*$BK67+L$40*AB67/($CF67+$Q67*$D$43)*$AF67*(1-EXP(-($CF67+$Q67*$D$43)))*$BL67+L$41*AB67/($CG67+$Q67*$E$43)*$AG67*(1-EXP(-($CG67+$Q67*$E$43)))*$BM67</f>
        <v>3303.6965704294357</v>
      </c>
      <c r="CS67" s="28">
        <f t="shared" ref="CS67:CS102" si="297">M$38*AC67/($CD67+$Q67*$B$43)*$AD67*(1-EXP(-($CD67+$Q67*$B$43)))*$BJ67+M$39*AC67/($CE67+$Q67*$C$43)*$AE67*(1-EXP(-($CE67+$Q67*$C$43)))*$BK67+M$40*AC67/($CF67+$Q67*$D$43)*$AF67*(1-EXP(-($CF67+$Q67*$D$43)))*$BL67+M$41*AC67/($CG67+$Q67*$E$43)*$AG67*(1-EXP(-($CG67+$Q67*$E$43)))*$BM67</f>
        <v>4270.958574478992</v>
      </c>
      <c r="CT67" s="44">
        <f t="shared" si="106"/>
        <v>0</v>
      </c>
      <c r="CU67" s="44">
        <f t="shared" si="107"/>
        <v>0</v>
      </c>
      <c r="CV67" s="44">
        <f t="shared" si="108"/>
        <v>3.949861191208124E-2</v>
      </c>
      <c r="CW67" s="44">
        <f t="shared" si="109"/>
        <v>7.3077736796415729E-2</v>
      </c>
      <c r="CX67" s="44">
        <f t="shared" si="110"/>
        <v>0.1215251652072698</v>
      </c>
      <c r="CY67" s="44">
        <f t="shared" si="111"/>
        <v>0.19001022883160454</v>
      </c>
      <c r="CZ67" s="44">
        <f t="shared" si="112"/>
        <v>0.284310122336352</v>
      </c>
      <c r="DA67" s="44">
        <f t="shared" si="113"/>
        <v>0.41159937633521571</v>
      </c>
      <c r="DB67" s="44">
        <f t="shared" si="114"/>
        <v>0.52941245837527029</v>
      </c>
      <c r="DC67" s="44">
        <f t="shared" si="115"/>
        <v>0.66951364165116234</v>
      </c>
      <c r="DD67" s="44">
        <f t="shared" si="116"/>
        <v>0.80151789032526344</v>
      </c>
      <c r="DE67" s="44">
        <f t="shared" si="117"/>
        <v>0.93082919366201844</v>
      </c>
      <c r="DF67" s="21">
        <f t="shared" ref="DF67:DF102" si="298">$P67*B$31/($P67*B$31+BR67)*R67*(1-EXP(-($P67*B$31+BR67)))</f>
        <v>0</v>
      </c>
      <c r="DG67" s="21">
        <f t="shared" ref="DG67:DG102" si="299">$P67*C$31/($P67*C$31+BS67)*S67*(1-EXP(-($P67*C$31+BS67)))</f>
        <v>0</v>
      </c>
      <c r="DH67" s="21">
        <f t="shared" ref="DH67:DH102" si="300">$P67*D$31/($P67*D$31+BT67)*T67*(1-EXP(-($P67*D$31+BT67)))</f>
        <v>0</v>
      </c>
      <c r="DI67" s="21">
        <f t="shared" ref="DI67:DI102" si="301">$P67*E$31/($P67*E$31+BU67)*U67*(1-EXP(-($P67*E$31+BU67)))</f>
        <v>0</v>
      </c>
      <c r="DJ67" s="21">
        <f t="shared" ref="DJ67:DJ102" si="302">$P67*F$31/($P67*F$31+BV67)*V67*(1-EXP(-($P67*F$31+BV67)))</f>
        <v>57712.766904572796</v>
      </c>
      <c r="DK67" s="21">
        <f t="shared" ref="DK67:DK102" si="303">$P67*G$31/($P67*G$31+BW67)*W67*(1-EXP(-($P67*G$31+BW67)))</f>
        <v>63861.746150921419</v>
      </c>
      <c r="DL67" s="21">
        <f t="shared" ref="DL67:DL102" si="304">$P67*H$31/($P67*H$31+BX67)*X67*(1-EXP(-($P67*H$31+BX67)))</f>
        <v>30450.785409284417</v>
      </c>
      <c r="DM67" s="21">
        <f t="shared" ref="DM67:DM102" si="305">$P67*I$31/($P67*I$31+BY67)*Y67*(1-EXP(-($P67*I$31+BY67)))</f>
        <v>14519.652028837165</v>
      </c>
      <c r="DN67" s="21">
        <f t="shared" ref="DN67:DN102" si="306">$P67*J$31/($P67*J$31+BZ67)*Z67*(1-EXP(-($P67*J$31+BZ67)))</f>
        <v>6923.3122302814409</v>
      </c>
      <c r="DO67" s="21">
        <f t="shared" ref="DO67:DO102" si="307">$P67*K$31/($P67*K$31+CA67)*AA67*(1-EXP(-($P67*K$31+CA67)))</f>
        <v>3301.1984133680439</v>
      </c>
      <c r="DP67" s="21">
        <f t="shared" ref="DP67:DP102" si="308">$P67*L$31/($P67*L$31+CB67)*AB67*(1-EXP(-($P67*L$31+CB67)))</f>
        <v>1574.0891935336472</v>
      </c>
      <c r="DQ67" s="21">
        <f t="shared" ref="DQ67:DQ102" si="309">$P67*M$31/($P67*M$31+CC67)*AC67*(1-EXP(-($P67*M$31+CC67)))</f>
        <v>1752.2568597248896</v>
      </c>
      <c r="DR67" s="21">
        <f t="shared" ref="DR67:DR102" si="310">$Q67*B$43/($Q67*B$43+CD67)*AD67*(1-EXP(-($Q67*B$43+CD67)))</f>
        <v>0</v>
      </c>
      <c r="DS67" s="21">
        <f t="shared" ref="DS67:DS102" si="311">$Q67*C$43/($Q67*C$43+CE67)*AE67*(1-EXP(-($Q67*C$43+CE67)))</f>
        <v>5259294.9233033229</v>
      </c>
      <c r="DT67" s="21">
        <f t="shared" ref="DT67:DT102" si="312">$Q67*D$43/($Q67*D$43+CF67)*AF67*(1-EXP(-($Q67*D$43+CF67)))</f>
        <v>5380534.1785971085</v>
      </c>
      <c r="DU67" s="21">
        <f t="shared" ref="DU67:DU102" si="313">$Q67*E$43/($Q67*E$43+CG67)*AG67*(1-EXP(-($Q67*E$43+CG67)))</f>
        <v>4494545.6460429924</v>
      </c>
      <c r="DV67" s="13">
        <f t="shared" ref="DV67:DV102" si="314">DF67*AX67</f>
        <v>0</v>
      </c>
      <c r="DW67" s="13">
        <f t="shared" ref="DW67:DW102" si="315">DG67*AY67</f>
        <v>0</v>
      </c>
      <c r="DX67" s="13">
        <f t="shared" ref="DX67:DX102" si="316">DH67*AZ67</f>
        <v>0</v>
      </c>
      <c r="DY67" s="13">
        <f t="shared" ref="DY67:DY102" si="317">DI67*BA67</f>
        <v>0</v>
      </c>
      <c r="DZ67" s="13">
        <f t="shared" ref="DZ67:DZ102" si="318">DJ67*BB67</f>
        <v>191553.75222456426</v>
      </c>
      <c r="EA67" s="13">
        <f t="shared" ref="EA67:EA102" si="319">DK67*BC67</f>
        <v>308180.31666111993</v>
      </c>
      <c r="EB67" s="13">
        <f t="shared" ref="EB67:EB102" si="320">DL67*BD67</f>
        <v>205324.99030588282</v>
      </c>
      <c r="EC67" s="13">
        <f t="shared" ref="EC67:EC102" si="321">DM67*BE67</f>
        <v>132823.70565368934</v>
      </c>
      <c r="ED67" s="13">
        <f t="shared" ref="ED67:ED102" si="322">DN67*BF67</f>
        <v>76862.73104642157</v>
      </c>
      <c r="EE67" s="13">
        <f t="shared" ref="EE67:EE102" si="323">DO67*BG67</f>
        <v>43921.162375316148</v>
      </c>
      <c r="EF67" s="13">
        <f t="shared" ref="EF67:EF102" si="324">DP67*BH67</f>
        <v>23907.1742324556</v>
      </c>
      <c r="EG67" s="13">
        <f t="shared" ref="EG67:EG102" si="325">DQ67*BI67</f>
        <v>29610.464419916989</v>
      </c>
      <c r="EH67" s="13">
        <f t="shared" ref="EH67:EH102" si="326">DR67*BJ67</f>
        <v>0</v>
      </c>
      <c r="EI67" s="13">
        <f t="shared" ref="EI67:EI102" si="327">DS67*BK67</f>
        <v>52592.949233033229</v>
      </c>
      <c r="EJ67" s="13">
        <f t="shared" ref="EJ67:EJ102" si="328">DT67*BL67</f>
        <v>107610.68357194217</v>
      </c>
      <c r="EK67" s="13">
        <f t="shared" ref="EK67:EK102" si="329">DU67*BM67</f>
        <v>134836.36938128975</v>
      </c>
      <c r="EL67" s="21">
        <f t="shared" si="120"/>
        <v>1012184.2969193666</v>
      </c>
      <c r="EM67" s="21">
        <f t="shared" si="121"/>
        <v>295040.00218626513</v>
      </c>
      <c r="EN67" s="21">
        <f t="shared" ref="EN67:EN102" si="330">EL67*$B$21</f>
        <v>15182764453.790499</v>
      </c>
      <c r="EO67" s="21">
        <f t="shared" ref="EO67:EO102" si="331">EM67*$B$22</f>
        <v>6638400049.1909657</v>
      </c>
      <c r="EP67" s="21">
        <f t="shared" ref="EP67:EP102" si="332">EN67-$B$23*P67</f>
        <v>12930228023.92724</v>
      </c>
      <c r="EQ67" s="21">
        <f t="shared" ref="EQ67:EQ102" si="333">EO67-$B$24*Q68</f>
        <v>4539324104.7741375</v>
      </c>
      <c r="ER67" s="21">
        <f t="shared" ref="ER67:ER102" si="334">EP67*EXP(-$B$20*($O67-1))</f>
        <v>527064592.19810921</v>
      </c>
      <c r="ES67" s="21">
        <f t="shared" ref="ES67:ES102" si="335">EQ67*EXP(-$B$20*($O67-1))</f>
        <v>185032855.08271798</v>
      </c>
    </row>
    <row r="68" spans="1:149" x14ac:dyDescent="0.25">
      <c r="A68" s="55" t="s">
        <v>78</v>
      </c>
      <c r="B68" s="56">
        <v>0</v>
      </c>
      <c r="C68" s="56">
        <v>0</v>
      </c>
      <c r="D68" s="81">
        <f>D63</f>
        <v>4.0000000000000001E-8</v>
      </c>
      <c r="E68" s="81">
        <f>E63*1.1</f>
        <v>7.4005372096697751E-8</v>
      </c>
      <c r="F68" s="81">
        <f>F63*1.2</f>
        <v>1.2306778322009795E-7</v>
      </c>
      <c r="G68" s="81">
        <f>G63*1.3</f>
        <v>1.924221835993048E-7</v>
      </c>
      <c r="H68" s="81">
        <f>H63*1.4</f>
        <v>2.8791910254384573E-7</v>
      </c>
      <c r="I68" s="81">
        <f>I63*1.5</f>
        <v>4.1682414283457096E-7</v>
      </c>
      <c r="J68" s="81">
        <f>J63*1.6</f>
        <v>5.36132722389003E-7</v>
      </c>
      <c r="K68" s="81">
        <f>K63*1.7</f>
        <v>6.7801232422183606E-7</v>
      </c>
      <c r="L68" s="81">
        <f>L63*1.8</f>
        <v>8.1169221045978823E-7</v>
      </c>
      <c r="M68" s="83">
        <f>M63*1.9</f>
        <v>9.4264496760941696E-7</v>
      </c>
      <c r="O68" s="3">
        <v>66</v>
      </c>
      <c r="P68" s="21">
        <f t="shared" si="122"/>
        <v>450507.28597265156</v>
      </c>
      <c r="Q68" s="21">
        <f t="shared" si="123"/>
        <v>419815.18888336571</v>
      </c>
      <c r="R68" s="13">
        <f t="shared" si="240"/>
        <v>692036.07594255358</v>
      </c>
      <c r="S68" s="13">
        <f t="shared" ref="S68:S102" si="336">R67*EXP(-($P67*B$31+BR67))</f>
        <v>512672.93443193013</v>
      </c>
      <c r="T68" s="13">
        <f t="shared" ref="T68:T102" si="337">S67*EXP(-($P67*C$31+BS67))</f>
        <v>399270.08280008205</v>
      </c>
      <c r="U68" s="13">
        <f t="shared" ref="U68:U102" si="338">T67*EXP(-($P67*D$31+BT67))</f>
        <v>326894.69557807548</v>
      </c>
      <c r="V68" s="13">
        <f t="shared" ref="V68:V102" si="339">U67*EXP(-($P67*E$31+BU67))</f>
        <v>267638.74029425991</v>
      </c>
      <c r="W68" s="13">
        <f t="shared" ref="W68:W102" si="340">V67*EXP(-($P67*F$31+BV67))</f>
        <v>167223.91381557568</v>
      </c>
      <c r="X68" s="13">
        <f t="shared" ref="X68:X102" si="341">W67*EXP(-($P67*G$31+BW67))</f>
        <v>79736.302586742691</v>
      </c>
      <c r="Y68" s="13">
        <f t="shared" ref="Y68:Y102" si="342">X67*EXP(-($P67*H$31+BX67))</f>
        <v>38020.147987507524</v>
      </c>
      <c r="Z68" s="13">
        <f t="shared" ref="Z68:Z102" si="343">Y67*EXP(-($P67*I$31+BY67))</f>
        <v>18128.902471434663</v>
      </c>
      <c r="AA68" s="13">
        <f t="shared" ref="AA68:AA102" si="344">Z67*EXP(-($P67*J$31+BZ67))</f>
        <v>8644.2878901495915</v>
      </c>
      <c r="AB68" s="13">
        <f t="shared" ref="AB68:AB102" si="345">AA67*EXP(-($P67*K$31+CA67))</f>
        <v>4121.8001613222614</v>
      </c>
      <c r="AC68" s="13">
        <f t="shared" ref="AC68:AC102" si="346">AB67*EXP(-($P67*L$31+DR67))+AC67*EXP(-($P67*M$31+CC67))</f>
        <v>4588.3375826482916</v>
      </c>
      <c r="AD68" s="13">
        <f t="shared" ref="AD68:AD102" si="347">$B$28*BQ67/($B$29+BQ67)</f>
        <v>47617256.785405181</v>
      </c>
      <c r="AE68" s="13">
        <f t="shared" ref="AE68:AE102" si="348">AD67*EXP(-($Q67*B$43+CD67))</f>
        <v>32978657.531285618</v>
      </c>
      <c r="AF68" s="13">
        <f t="shared" ref="AF68:AF102" si="349">AE67*EXP(-($Q67*C$43+CE67))</f>
        <v>18515688.394109897</v>
      </c>
      <c r="AG68" s="13">
        <f t="shared" ref="AG68:AG102" si="350">AF67*EXP(-($Q67*D$43+CF67))+AG67*EXP(-($Q67*E$43+CG67))</f>
        <v>15466792.682817701</v>
      </c>
      <c r="AH68" s="21">
        <f t="shared" si="250"/>
        <v>0</v>
      </c>
      <c r="AI68" s="21">
        <f t="shared" si="251"/>
        <v>1538.0188032957903</v>
      </c>
      <c r="AJ68" s="21">
        <f t="shared" si="252"/>
        <v>19753.361991161957</v>
      </c>
      <c r="AK68" s="21">
        <f t="shared" si="253"/>
        <v>89397.096748614727</v>
      </c>
      <c r="AL68" s="21">
        <f t="shared" si="254"/>
        <v>154751.53688803894</v>
      </c>
      <c r="AM68" s="21">
        <f t="shared" si="255"/>
        <v>135486.57522510376</v>
      </c>
      <c r="AN68" s="21">
        <f t="shared" si="256"/>
        <v>74691.932286255076</v>
      </c>
      <c r="AO68" s="21">
        <f t="shared" si="257"/>
        <v>37429.835163490956</v>
      </c>
      <c r="AP68" s="21">
        <f t="shared" si="258"/>
        <v>18030.624736984253</v>
      </c>
      <c r="AQ68" s="21">
        <f t="shared" si="259"/>
        <v>8618.3550264791429</v>
      </c>
      <c r="AR68" s="21">
        <f t="shared" si="260"/>
        <v>4121.8001613222614</v>
      </c>
      <c r="AS68" s="21">
        <f t="shared" si="261"/>
        <v>4588.3375826482916</v>
      </c>
      <c r="AT68" s="21">
        <f t="shared" si="262"/>
        <v>0</v>
      </c>
      <c r="AU68" s="21">
        <f t="shared" si="263"/>
        <v>16489328.765642809</v>
      </c>
      <c r="AV68" s="21">
        <f t="shared" si="264"/>
        <v>18515688.394109897</v>
      </c>
      <c r="AW68" s="21">
        <f t="shared" si="265"/>
        <v>15466792.682817701</v>
      </c>
      <c r="AX68" s="13">
        <f t="shared" ref="AX68:AX102" si="351">B$35+B$36*CT68</f>
        <v>0.2</v>
      </c>
      <c r="AY68" s="13">
        <f t="shared" si="124"/>
        <v>0.6</v>
      </c>
      <c r="AZ68" s="13">
        <f t="shared" si="125"/>
        <v>1.2658</v>
      </c>
      <c r="BA68" s="13">
        <f t="shared" si="126"/>
        <v>2.1566490283384567</v>
      </c>
      <c r="BB68" s="13">
        <f t="shared" si="127"/>
        <v>3.3190880025174274</v>
      </c>
      <c r="BC68" s="13">
        <f t="shared" si="128"/>
        <v>4.8257420950250403</v>
      </c>
      <c r="BD68" s="13">
        <f t="shared" si="129"/>
        <v>6.7428471071339722</v>
      </c>
      <c r="BE68" s="13">
        <f t="shared" si="130"/>
        <v>9.1478573584801666</v>
      </c>
      <c r="BF68" s="13">
        <f t="shared" si="131"/>
        <v>11.102017140136871</v>
      </c>
      <c r="BG68" s="13">
        <f t="shared" si="132"/>
        <v>13.304611500469678</v>
      </c>
      <c r="BH68" s="13">
        <f t="shared" si="133"/>
        <v>15.187941274892312</v>
      </c>
      <c r="BI68" s="13">
        <f t="shared" si="134"/>
        <v>16.898472536267263</v>
      </c>
      <c r="BJ68" s="13">
        <f t="shared" si="266"/>
        <v>4.0000000000000001E-3</v>
      </c>
      <c r="BK68" s="13">
        <f t="shared" si="267"/>
        <v>0.01</v>
      </c>
      <c r="BL68" s="13">
        <f t="shared" si="268"/>
        <v>0.02</v>
      </c>
      <c r="BM68" s="13">
        <f t="shared" si="269"/>
        <v>0.03</v>
      </c>
      <c r="BN68" s="30">
        <f t="shared" ref="BN68:BN102" si="352">SUMPRODUCT(R68:AC68,AX68:BI68)</f>
        <v>4693566.6075971881</v>
      </c>
      <c r="BO68" s="30">
        <f t="shared" ref="BO68:BO102" si="353">SUMPRODUCT(AD68:AG68,BJ68:BM68)</f>
        <v>1354573.1508212059</v>
      </c>
      <c r="BP68" s="30">
        <f t="shared" ref="BP68:BP102" si="354">SUMPRODUCT(AH68:AS68,AX68:BI68)</f>
        <v>2687198.8158323243</v>
      </c>
      <c r="BQ68" s="30">
        <f t="shared" ref="BQ68:BQ102" si="355">SUMPRODUCT(AT68:AW68,BJ68:BM68)</f>
        <v>999210.836023157</v>
      </c>
      <c r="BR68" s="36">
        <f t="shared" si="270"/>
        <v>0.3</v>
      </c>
      <c r="BS68" s="36">
        <f t="shared" si="271"/>
        <v>0.25</v>
      </c>
      <c r="BT68" s="36">
        <f t="shared" si="272"/>
        <v>0.2</v>
      </c>
      <c r="BU68" s="36">
        <f t="shared" si="273"/>
        <v>0.2</v>
      </c>
      <c r="BV68" s="36">
        <f t="shared" si="274"/>
        <v>0.2</v>
      </c>
      <c r="BW68" s="36">
        <f t="shared" si="275"/>
        <v>0.2</v>
      </c>
      <c r="BX68" s="36">
        <f t="shared" si="276"/>
        <v>0.2</v>
      </c>
      <c r="BY68" s="36">
        <f t="shared" si="277"/>
        <v>0.2</v>
      </c>
      <c r="BZ68" s="36">
        <f t="shared" si="278"/>
        <v>0.2</v>
      </c>
      <c r="CA68" s="36">
        <f t="shared" si="279"/>
        <v>0.2</v>
      </c>
      <c r="CB68" s="36">
        <f t="shared" si="280"/>
        <v>0.2</v>
      </c>
      <c r="CC68" s="36">
        <f t="shared" si="281"/>
        <v>0.2</v>
      </c>
      <c r="CD68" s="35">
        <f t="shared" si="282"/>
        <v>0.36733462226479219</v>
      </c>
      <c r="CE68" s="35">
        <f t="shared" si="283"/>
        <v>0.36733462226479219</v>
      </c>
      <c r="CF68" s="35">
        <f t="shared" si="284"/>
        <v>0.36733462226479219</v>
      </c>
      <c r="CG68" s="35">
        <f t="shared" si="285"/>
        <v>0.36733462226479219</v>
      </c>
      <c r="CH68" s="28">
        <f t="shared" si="286"/>
        <v>0</v>
      </c>
      <c r="CI68" s="28">
        <f t="shared" si="287"/>
        <v>0</v>
      </c>
      <c r="CJ68" s="28">
        <f t="shared" si="288"/>
        <v>15770.61404976431</v>
      </c>
      <c r="CK68" s="28">
        <f t="shared" si="289"/>
        <v>23888.724525324858</v>
      </c>
      <c r="CL68" s="28">
        <f t="shared" si="290"/>
        <v>32524.842132475227</v>
      </c>
      <c r="CM68" s="28">
        <f t="shared" si="291"/>
        <v>31774.254132509544</v>
      </c>
      <c r="CN68" s="28">
        <f t="shared" si="292"/>
        <v>22669.837944722953</v>
      </c>
      <c r="CO68" s="28">
        <f t="shared" si="293"/>
        <v>15649.069200961254</v>
      </c>
      <c r="CP68" s="28">
        <f t="shared" si="294"/>
        <v>9597.6668257411111</v>
      </c>
      <c r="CQ68" s="28">
        <f t="shared" si="295"/>
        <v>5787.4686652332039</v>
      </c>
      <c r="CR68" s="28">
        <f t="shared" si="296"/>
        <v>3303.6965698840208</v>
      </c>
      <c r="CS68" s="28">
        <f t="shared" si="297"/>
        <v>4270.958572614195</v>
      </c>
      <c r="CT68" s="44">
        <f t="shared" ref="CT68:CT102" si="356">CH68/R68</f>
        <v>0</v>
      </c>
      <c r="CU68" s="44">
        <f t="shared" ref="CU68:CU102" si="357">CI68/S68</f>
        <v>0</v>
      </c>
      <c r="CV68" s="44">
        <f t="shared" ref="CV68:CV102" si="358">CJ68/T68</f>
        <v>3.9498611914934763E-2</v>
      </c>
      <c r="CW68" s="44">
        <f t="shared" ref="CW68:CW102" si="359">CK68/U68</f>
        <v>7.3077736801695145E-2</v>
      </c>
      <c r="CX68" s="44">
        <f t="shared" ref="CX68:CX102" si="360">CL68/V68</f>
        <v>0.12152516521604922</v>
      </c>
      <c r="CY68" s="44">
        <f t="shared" ref="CY68:CY102" si="361">CM68/W68</f>
        <v>0.19001022884533161</v>
      </c>
      <c r="CZ68" s="44">
        <f t="shared" ref="CZ68:CZ102" si="362">CN68/X68</f>
        <v>0.28431012235689168</v>
      </c>
      <c r="DA68" s="44">
        <f t="shared" ref="DA68:DA102" si="363">CO68/Y68</f>
        <v>0.41159937636495125</v>
      </c>
      <c r="DB68" s="44">
        <f t="shared" ref="DB68:DB102" si="364">CP68/Z68</f>
        <v>0.52941245841351714</v>
      </c>
      <c r="DC68" s="44">
        <f t="shared" ref="DC68:DC102" si="365">CQ68/AA68</f>
        <v>0.66951364169953043</v>
      </c>
      <c r="DD68" s="44">
        <f t="shared" ref="DD68:DD102" si="366">CR68/AB68</f>
        <v>0.80151789038316812</v>
      </c>
      <c r="DE68" s="44">
        <f t="shared" ref="DE68:DE102" si="367">CS68/AC68</f>
        <v>0.9308291937292652</v>
      </c>
      <c r="DF68" s="21">
        <f t="shared" si="298"/>
        <v>0</v>
      </c>
      <c r="DG68" s="21">
        <f t="shared" si="299"/>
        <v>0</v>
      </c>
      <c r="DH68" s="21">
        <f t="shared" si="300"/>
        <v>0</v>
      </c>
      <c r="DI68" s="21">
        <f t="shared" si="301"/>
        <v>0</v>
      </c>
      <c r="DJ68" s="21">
        <f t="shared" si="302"/>
        <v>57712.766902650765</v>
      </c>
      <c r="DK68" s="21">
        <f t="shared" si="303"/>
        <v>63861.746147970662</v>
      </c>
      <c r="DL68" s="21">
        <f t="shared" si="304"/>
        <v>30450.785407332372</v>
      </c>
      <c r="DM68" s="21">
        <f t="shared" si="305"/>
        <v>14519.652027545893</v>
      </c>
      <c r="DN68" s="21">
        <f t="shared" si="306"/>
        <v>6923.3122294273389</v>
      </c>
      <c r="DO68" s="21">
        <f t="shared" si="307"/>
        <v>3301.1984128031559</v>
      </c>
      <c r="DP68" s="21">
        <f t="shared" si="308"/>
        <v>1574.0891931600593</v>
      </c>
      <c r="DQ68" s="21">
        <f t="shared" si="309"/>
        <v>1752.2568588332249</v>
      </c>
      <c r="DR68" s="21">
        <f t="shared" si="310"/>
        <v>0</v>
      </c>
      <c r="DS68" s="21">
        <f t="shared" si="311"/>
        <v>5259294.9234580137</v>
      </c>
      <c r="DT68" s="21">
        <f t="shared" si="312"/>
        <v>5380534.1788907228</v>
      </c>
      <c r="DU68" s="21">
        <f t="shared" si="313"/>
        <v>4494545.6467171321</v>
      </c>
      <c r="DV68" s="13">
        <f t="shared" si="314"/>
        <v>0</v>
      </c>
      <c r="DW68" s="13">
        <f t="shared" si="315"/>
        <v>0</v>
      </c>
      <c r="DX68" s="13">
        <f t="shared" si="316"/>
        <v>0</v>
      </c>
      <c r="DY68" s="13">
        <f t="shared" si="317"/>
        <v>0</v>
      </c>
      <c r="DZ68" s="13">
        <f t="shared" si="318"/>
        <v>191553.75221867303</v>
      </c>
      <c r="EA68" s="13">
        <f t="shared" si="319"/>
        <v>308180.31664806523</v>
      </c>
      <c r="EB68" s="13">
        <f t="shared" si="320"/>
        <v>205324.99029378846</v>
      </c>
      <c r="EC68" s="13">
        <f t="shared" si="321"/>
        <v>132823.70564275718</v>
      </c>
      <c r="ED68" s="13">
        <f t="shared" si="322"/>
        <v>76862.731037621532</v>
      </c>
      <c r="EE68" s="13">
        <f t="shared" si="323"/>
        <v>43921.162368313111</v>
      </c>
      <c r="EF68" s="13">
        <f t="shared" si="324"/>
        <v>23907.1742271576</v>
      </c>
      <c r="EG68" s="13">
        <f t="shared" si="325"/>
        <v>29610.464405479193</v>
      </c>
      <c r="EH68" s="13">
        <f t="shared" si="326"/>
        <v>0</v>
      </c>
      <c r="EI68" s="13">
        <f t="shared" si="327"/>
        <v>52592.949234580141</v>
      </c>
      <c r="EJ68" s="13">
        <f t="shared" si="328"/>
        <v>107610.68357781446</v>
      </c>
      <c r="EK68" s="13">
        <f t="shared" si="329"/>
        <v>134836.36940151395</v>
      </c>
      <c r="EL68" s="21">
        <f t="shared" ref="EL68:EL102" si="368">SUM(DV68:EG68)</f>
        <v>1012184.2968418552</v>
      </c>
      <c r="EM68" s="21">
        <f t="shared" ref="EM68:EM101" si="369">SUM(EH68:EK68)</f>
        <v>295040.00221390853</v>
      </c>
      <c r="EN68" s="21">
        <f t="shared" si="330"/>
        <v>15182764452.627827</v>
      </c>
      <c r="EO68" s="21">
        <f t="shared" si="331"/>
        <v>6638400049.8129416</v>
      </c>
      <c r="EP68" s="21">
        <f t="shared" si="332"/>
        <v>12930228022.764568</v>
      </c>
      <c r="EQ68" s="21">
        <f t="shared" si="333"/>
        <v>4539324105.3961124</v>
      </c>
      <c r="ER68" s="21">
        <f t="shared" si="334"/>
        <v>501359348.66622931</v>
      </c>
      <c r="ES68" s="21">
        <f t="shared" si="335"/>
        <v>176008696.27817443</v>
      </c>
    </row>
    <row r="69" spans="1:149" x14ac:dyDescent="0.25">
      <c r="A69" s="52" t="s">
        <v>79</v>
      </c>
      <c r="B69" s="51">
        <v>0</v>
      </c>
      <c r="C69" s="51">
        <v>0</v>
      </c>
      <c r="D69" s="57">
        <f t="shared" ref="D69:D71" si="370">D64</f>
        <v>4.0000000000000001E-8</v>
      </c>
      <c r="E69" s="57">
        <f t="shared" ref="E69:E71" si="371">E64*1.1</f>
        <v>7.4005372096697751E-8</v>
      </c>
      <c r="F69" s="57">
        <f t="shared" ref="F69:F71" si="372">F64*1.2</f>
        <v>1.2306778322009795E-7</v>
      </c>
      <c r="G69" s="57">
        <f t="shared" ref="G69:G71" si="373">G64*1.3</f>
        <v>1.924221835993048E-7</v>
      </c>
      <c r="H69" s="57">
        <f t="shared" ref="H69:H71" si="374">H64*1.4</f>
        <v>2.8791910254384573E-7</v>
      </c>
      <c r="I69" s="57">
        <f t="shared" ref="I69:I71" si="375">I64*1.5</f>
        <v>4.1682414283457096E-7</v>
      </c>
      <c r="J69" s="57">
        <f t="shared" ref="J69:J71" si="376">J64*1.6</f>
        <v>5.36132722389003E-7</v>
      </c>
      <c r="K69" s="57">
        <f t="shared" ref="K69:K71" si="377">K64*1.7</f>
        <v>6.7801232422183606E-7</v>
      </c>
      <c r="L69" s="57">
        <f t="shared" ref="L69:L71" si="378">L64*1.8</f>
        <v>8.1169221045978823E-7</v>
      </c>
      <c r="M69" s="59">
        <f t="shared" ref="M69:M71" si="379">M64*1.9</f>
        <v>9.4264496760941696E-7</v>
      </c>
      <c r="O69" s="3">
        <v>67</v>
      </c>
      <c r="P69" s="21">
        <f t="shared" ref="P69:P102" si="380">P68</f>
        <v>450507.28597265156</v>
      </c>
      <c r="Q69" s="21">
        <f t="shared" ref="Q69:Q102" si="381">Q68</f>
        <v>419815.18888336571</v>
      </c>
      <c r="R69" s="13">
        <f t="shared" si="240"/>
        <v>692036.07593806845</v>
      </c>
      <c r="S69" s="13">
        <f t="shared" si="336"/>
        <v>512672.93442732072</v>
      </c>
      <c r="T69" s="13">
        <f t="shared" si="337"/>
        <v>399270.08279510221</v>
      </c>
      <c r="U69" s="13">
        <f t="shared" si="338"/>
        <v>326894.69557241932</v>
      </c>
      <c r="V69" s="13">
        <f t="shared" si="339"/>
        <v>267638.74028783536</v>
      </c>
      <c r="W69" s="13">
        <f t="shared" si="340"/>
        <v>167223.91381000655</v>
      </c>
      <c r="X69" s="13">
        <f t="shared" si="341"/>
        <v>79736.302583058437</v>
      </c>
      <c r="Y69" s="13">
        <f t="shared" si="342"/>
        <v>38020.147985070245</v>
      </c>
      <c r="Z69" s="13">
        <f t="shared" si="343"/>
        <v>18128.902469822413</v>
      </c>
      <c r="AA69" s="13">
        <f t="shared" si="344"/>
        <v>8644.2878890831798</v>
      </c>
      <c r="AB69" s="13">
        <f t="shared" si="345"/>
        <v>4121.8001606169546</v>
      </c>
      <c r="AC69" s="13">
        <f t="shared" si="346"/>
        <v>4588.3375809652516</v>
      </c>
      <c r="AD69" s="13">
        <f t="shared" si="347"/>
        <v>47617256.785608701</v>
      </c>
      <c r="AE69" s="13">
        <f t="shared" si="348"/>
        <v>32978657.53186103</v>
      </c>
      <c r="AF69" s="13">
        <f t="shared" si="349"/>
        <v>18515688.394771341</v>
      </c>
      <c r="AG69" s="13">
        <f t="shared" si="350"/>
        <v>15466792.684434088</v>
      </c>
      <c r="AH69" s="21">
        <f t="shared" si="250"/>
        <v>0</v>
      </c>
      <c r="AI69" s="21">
        <f t="shared" si="251"/>
        <v>1538.0188032819622</v>
      </c>
      <c r="AJ69" s="21">
        <f t="shared" si="252"/>
        <v>19753.361990915586</v>
      </c>
      <c r="AK69" s="21">
        <f t="shared" si="253"/>
        <v>89397.096747067917</v>
      </c>
      <c r="AL69" s="21">
        <f t="shared" si="254"/>
        <v>154751.53688432422</v>
      </c>
      <c r="AM69" s="21">
        <f t="shared" si="255"/>
        <v>135486.57522059159</v>
      </c>
      <c r="AN69" s="21">
        <f t="shared" si="256"/>
        <v>74691.9322828039</v>
      </c>
      <c r="AO69" s="21">
        <f t="shared" si="257"/>
        <v>37429.83516109152</v>
      </c>
      <c r="AP69" s="21">
        <f t="shared" si="258"/>
        <v>18030.624735380745</v>
      </c>
      <c r="AQ69" s="21">
        <f t="shared" si="259"/>
        <v>8618.3550254159309</v>
      </c>
      <c r="AR69" s="21">
        <f t="shared" si="260"/>
        <v>4121.8001606169546</v>
      </c>
      <c r="AS69" s="21">
        <f t="shared" si="261"/>
        <v>4588.3375809652516</v>
      </c>
      <c r="AT69" s="21">
        <f t="shared" si="262"/>
        <v>0</v>
      </c>
      <c r="AU69" s="21">
        <f t="shared" si="263"/>
        <v>16489328.765930515</v>
      </c>
      <c r="AV69" s="21">
        <f t="shared" si="264"/>
        <v>18515688.394771341</v>
      </c>
      <c r="AW69" s="21">
        <f t="shared" si="265"/>
        <v>15466792.684434088</v>
      </c>
      <c r="AX69" s="13">
        <f t="shared" si="351"/>
        <v>0.2</v>
      </c>
      <c r="AY69" s="13">
        <f t="shared" ref="AY69:AY102" si="382">AX68+C$35+B$36*CT68</f>
        <v>0.6</v>
      </c>
      <c r="AZ69" s="13">
        <f t="shared" ref="AZ69:AZ102" si="383">AY68+D$35+C$36*CU68</f>
        <v>1.2658</v>
      </c>
      <c r="BA69" s="13">
        <f t="shared" ref="BA69:BA102" si="384">AZ68+E$35+D$36*CV68</f>
        <v>2.1566490283404542</v>
      </c>
      <c r="BB69" s="13">
        <f t="shared" ref="BB69:BB102" si="385">BA68+F$35+E$36*CW68</f>
        <v>3.3190880025235248</v>
      </c>
      <c r="BC69" s="13">
        <f t="shared" ref="BC69:BC102" si="386">BB68+G$35+F$36*CX68</f>
        <v>4.8257420950384153</v>
      </c>
      <c r="BD69" s="13">
        <f t="shared" ref="BD69:BD102" si="387">BC68+H$35+G$36*CY68</f>
        <v>6.7428471071592524</v>
      </c>
      <c r="BE69" s="13">
        <f t="shared" ref="BE69:BE102" si="388">BD68+I$35+H$36*CZ68</f>
        <v>9.1478573585238649</v>
      </c>
      <c r="BF69" s="13">
        <f t="shared" ref="BF69:BF102" si="389">BE68+J$35+I$36*DA68</f>
        <v>11.1020171402079</v>
      </c>
      <c r="BG69" s="13">
        <f t="shared" ref="BG69:BG102" si="390">BF68+K$35+J$36*DB68</f>
        <v>13.304611500581602</v>
      </c>
      <c r="BH69" s="13">
        <f t="shared" ref="BH69:BH102" si="391">BG68+L$35+K$36*DC68</f>
        <v>15.187941275064512</v>
      </c>
      <c r="BI69" s="13">
        <f t="shared" ref="BI69:BI102" si="392">BH68+M$35+L$36*DD68</f>
        <v>16.89847253652642</v>
      </c>
      <c r="BJ69" s="13">
        <f t="shared" si="266"/>
        <v>4.0000000000000001E-3</v>
      </c>
      <c r="BK69" s="13">
        <f t="shared" si="267"/>
        <v>0.01</v>
      </c>
      <c r="BL69" s="13">
        <f t="shared" si="268"/>
        <v>0.02</v>
      </c>
      <c r="BM69" s="13">
        <f t="shared" si="269"/>
        <v>0.03</v>
      </c>
      <c r="BN69" s="30">
        <f t="shared" si="352"/>
        <v>4693566.6074207975</v>
      </c>
      <c r="BO69" s="30">
        <f t="shared" si="353"/>
        <v>1354573.1508894945</v>
      </c>
      <c r="BP69" s="30">
        <f t="shared" si="354"/>
        <v>2687198.8156888452</v>
      </c>
      <c r="BQ69" s="30">
        <f t="shared" si="355"/>
        <v>999210.83608775458</v>
      </c>
      <c r="BR69" s="36">
        <f t="shared" si="270"/>
        <v>0.3</v>
      </c>
      <c r="BS69" s="36">
        <f t="shared" si="271"/>
        <v>0.25</v>
      </c>
      <c r="BT69" s="36">
        <f t="shared" si="272"/>
        <v>0.2</v>
      </c>
      <c r="BU69" s="36">
        <f t="shared" si="273"/>
        <v>0.2</v>
      </c>
      <c r="BV69" s="36">
        <f t="shared" si="274"/>
        <v>0.2</v>
      </c>
      <c r="BW69" s="36">
        <f t="shared" si="275"/>
        <v>0.2</v>
      </c>
      <c r="BX69" s="36">
        <f t="shared" si="276"/>
        <v>0.2</v>
      </c>
      <c r="BY69" s="36">
        <f t="shared" si="277"/>
        <v>0.2</v>
      </c>
      <c r="BZ69" s="36">
        <f t="shared" si="278"/>
        <v>0.2</v>
      </c>
      <c r="CA69" s="36">
        <f t="shared" si="279"/>
        <v>0.2</v>
      </c>
      <c r="CB69" s="36">
        <f t="shared" si="280"/>
        <v>0.2</v>
      </c>
      <c r="CC69" s="36">
        <f t="shared" si="281"/>
        <v>0.2</v>
      </c>
      <c r="CD69" s="35">
        <f t="shared" si="282"/>
        <v>0.36733462225648905</v>
      </c>
      <c r="CE69" s="35">
        <f t="shared" si="283"/>
        <v>0.36733462225648905</v>
      </c>
      <c r="CF69" s="35">
        <f t="shared" si="284"/>
        <v>0.36733462225648905</v>
      </c>
      <c r="CG69" s="35">
        <f t="shared" si="285"/>
        <v>0.36733462225648905</v>
      </c>
      <c r="CH69" s="28">
        <f t="shared" si="286"/>
        <v>0</v>
      </c>
      <c r="CI69" s="28">
        <f t="shared" si="287"/>
        <v>0</v>
      </c>
      <c r="CJ69" s="28">
        <f t="shared" si="288"/>
        <v>15770.614050388889</v>
      </c>
      <c r="CK69" s="28">
        <f t="shared" si="289"/>
        <v>23888.724526155562</v>
      </c>
      <c r="CL69" s="28">
        <f t="shared" si="290"/>
        <v>32524.842133388258</v>
      </c>
      <c r="CM69" s="28">
        <f t="shared" si="291"/>
        <v>31774.254133106042</v>
      </c>
      <c r="CN69" s="28">
        <f t="shared" si="292"/>
        <v>22669.837944856052</v>
      </c>
      <c r="CO69" s="28">
        <f t="shared" si="293"/>
        <v>15649.069200773021</v>
      </c>
      <c r="CP69" s="28">
        <f t="shared" si="294"/>
        <v>9597.6668253873795</v>
      </c>
      <c r="CQ69" s="28">
        <f t="shared" si="295"/>
        <v>5787.4686648206189</v>
      </c>
      <c r="CR69" s="28">
        <f t="shared" si="296"/>
        <v>3303.6965694907499</v>
      </c>
      <c r="CS69" s="28">
        <f t="shared" si="297"/>
        <v>4270.9585712699882</v>
      </c>
      <c r="CT69" s="44">
        <f t="shared" si="356"/>
        <v>0</v>
      </c>
      <c r="CU69" s="44">
        <f t="shared" si="357"/>
        <v>0</v>
      </c>
      <c r="CV69" s="44">
        <f t="shared" si="358"/>
        <v>3.9498611916991708E-2</v>
      </c>
      <c r="CW69" s="44">
        <f t="shared" si="359"/>
        <v>7.3077736805500781E-2</v>
      </c>
      <c r="CX69" s="44">
        <f t="shared" si="360"/>
        <v>0.12152516522237782</v>
      </c>
      <c r="CY69" s="44">
        <f t="shared" si="361"/>
        <v>0.19001022885522667</v>
      </c>
      <c r="CZ69" s="44">
        <f t="shared" si="362"/>
        <v>0.28431012237169762</v>
      </c>
      <c r="DA69" s="44">
        <f t="shared" si="363"/>
        <v>0.41159937638638594</v>
      </c>
      <c r="DB69" s="44">
        <f t="shared" si="364"/>
        <v>0.52941245844108709</v>
      </c>
      <c r="DC69" s="44">
        <f t="shared" si="365"/>
        <v>0.66951364173439654</v>
      </c>
      <c r="DD69" s="44">
        <f t="shared" si="366"/>
        <v>0.8015178904249084</v>
      </c>
      <c r="DE69" s="44">
        <f t="shared" si="367"/>
        <v>0.93082919377773943</v>
      </c>
      <c r="DF69" s="21">
        <f t="shared" si="298"/>
        <v>0</v>
      </c>
      <c r="DG69" s="21">
        <f t="shared" si="299"/>
        <v>0</v>
      </c>
      <c r="DH69" s="21">
        <f t="shared" si="300"/>
        <v>0</v>
      </c>
      <c r="DI69" s="21">
        <f t="shared" si="301"/>
        <v>0</v>
      </c>
      <c r="DJ69" s="21">
        <f t="shared" si="302"/>
        <v>57712.766901265393</v>
      </c>
      <c r="DK69" s="21">
        <f t="shared" si="303"/>
        <v>63861.746145843848</v>
      </c>
      <c r="DL69" s="21">
        <f t="shared" si="304"/>
        <v>30450.78540592538</v>
      </c>
      <c r="DM69" s="21">
        <f t="shared" si="305"/>
        <v>14519.652026615113</v>
      </c>
      <c r="DN69" s="21">
        <f t="shared" si="306"/>
        <v>6923.312228811631</v>
      </c>
      <c r="DO69" s="21">
        <f t="shared" si="307"/>
        <v>3301.1984123959</v>
      </c>
      <c r="DP69" s="21">
        <f t="shared" si="308"/>
        <v>1574.089192890707</v>
      </c>
      <c r="DQ69" s="21">
        <f t="shared" si="309"/>
        <v>1752.2568581904827</v>
      </c>
      <c r="DR69" s="21">
        <f t="shared" si="310"/>
        <v>0</v>
      </c>
      <c r="DS69" s="21">
        <f t="shared" si="311"/>
        <v>5259294.9235695247</v>
      </c>
      <c r="DT69" s="21">
        <f t="shared" si="312"/>
        <v>5380534.1791023705</v>
      </c>
      <c r="DU69" s="21">
        <f t="shared" si="313"/>
        <v>4494545.6472030804</v>
      </c>
      <c r="DV69" s="13">
        <f t="shared" si="314"/>
        <v>0</v>
      </c>
      <c r="DW69" s="13">
        <f t="shared" si="315"/>
        <v>0</v>
      </c>
      <c r="DX69" s="13">
        <f t="shared" si="316"/>
        <v>0</v>
      </c>
      <c r="DY69" s="13">
        <f t="shared" si="317"/>
        <v>0</v>
      </c>
      <c r="DZ69" s="13">
        <f t="shared" si="318"/>
        <v>191553.75221442676</v>
      </c>
      <c r="EA69" s="13">
        <f t="shared" si="319"/>
        <v>308180.31663865596</v>
      </c>
      <c r="EB69" s="13">
        <f t="shared" si="320"/>
        <v>205324.99028507114</v>
      </c>
      <c r="EC69" s="13">
        <f t="shared" si="321"/>
        <v>132823.705634877</v>
      </c>
      <c r="ED69" s="13">
        <f t="shared" si="322"/>
        <v>76862.731031277683</v>
      </c>
      <c r="EE69" s="13">
        <f t="shared" si="323"/>
        <v>43921.162363264222</v>
      </c>
      <c r="EF69" s="13">
        <f t="shared" si="324"/>
        <v>23907.174223337752</v>
      </c>
      <c r="EG69" s="13">
        <f t="shared" si="325"/>
        <v>29610.46439507194</v>
      </c>
      <c r="EH69" s="13">
        <f t="shared" si="326"/>
        <v>0</v>
      </c>
      <c r="EI69" s="13">
        <f t="shared" si="327"/>
        <v>52592.949235695247</v>
      </c>
      <c r="EJ69" s="13">
        <f t="shared" si="328"/>
        <v>107610.68358204741</v>
      </c>
      <c r="EK69" s="13">
        <f t="shared" si="329"/>
        <v>134836.36941609241</v>
      </c>
      <c r="EL69" s="21">
        <f t="shared" si="368"/>
        <v>1012184.2967859826</v>
      </c>
      <c r="EM69" s="21">
        <f t="shared" si="369"/>
        <v>295040.00223383505</v>
      </c>
      <c r="EN69" s="21">
        <f t="shared" si="330"/>
        <v>15182764451.789738</v>
      </c>
      <c r="EO69" s="21">
        <f t="shared" si="331"/>
        <v>6638400050.2612886</v>
      </c>
      <c r="EP69" s="21">
        <f t="shared" si="332"/>
        <v>12930228021.926479</v>
      </c>
      <c r="EQ69" s="21">
        <f t="shared" si="333"/>
        <v>4539324105.8444595</v>
      </c>
      <c r="ER69" s="21">
        <f t="shared" si="334"/>
        <v>476907764.66891861</v>
      </c>
      <c r="ES69" s="21">
        <f t="shared" si="335"/>
        <v>167424650.88434526</v>
      </c>
    </row>
    <row r="70" spans="1:149" x14ac:dyDescent="0.25">
      <c r="A70" s="52" t="s">
        <v>80</v>
      </c>
      <c r="B70" s="51">
        <v>0</v>
      </c>
      <c r="C70" s="51">
        <v>0</v>
      </c>
      <c r="D70" s="57">
        <f t="shared" si="370"/>
        <v>4.0000000000000001E-8</v>
      </c>
      <c r="E70" s="57">
        <f t="shared" si="371"/>
        <v>7.4005372096697751E-8</v>
      </c>
      <c r="F70" s="57">
        <f t="shared" si="372"/>
        <v>1.2306778322009795E-7</v>
      </c>
      <c r="G70" s="57">
        <f t="shared" si="373"/>
        <v>1.924221835993048E-7</v>
      </c>
      <c r="H70" s="57">
        <f t="shared" si="374"/>
        <v>2.8791910254384573E-7</v>
      </c>
      <c r="I70" s="57">
        <f t="shared" si="375"/>
        <v>4.1682414283457096E-7</v>
      </c>
      <c r="J70" s="57">
        <f t="shared" si="376"/>
        <v>5.36132722389003E-7</v>
      </c>
      <c r="K70" s="57">
        <f t="shared" si="377"/>
        <v>6.7801232422183606E-7</v>
      </c>
      <c r="L70" s="57">
        <f t="shared" si="378"/>
        <v>8.1169221045978823E-7</v>
      </c>
      <c r="M70" s="59">
        <f t="shared" si="379"/>
        <v>9.4264496760941696E-7</v>
      </c>
      <c r="O70" s="3">
        <v>68</v>
      </c>
      <c r="P70" s="21">
        <f t="shared" si="380"/>
        <v>450507.28597265156</v>
      </c>
      <c r="Q70" s="21">
        <f t="shared" si="381"/>
        <v>419815.18888336571</v>
      </c>
      <c r="R70" s="13">
        <f t="shared" ref="R70:R101" si="393">$B$26*BP67/($B$27+BP67)</f>
        <v>692036.07593483513</v>
      </c>
      <c r="S70" s="13">
        <f t="shared" si="336"/>
        <v>512672.93442399806</v>
      </c>
      <c r="T70" s="13">
        <f t="shared" si="337"/>
        <v>399270.08279151237</v>
      </c>
      <c r="U70" s="13">
        <f t="shared" si="338"/>
        <v>326894.69556834217</v>
      </c>
      <c r="V70" s="13">
        <f t="shared" si="339"/>
        <v>267638.74028320448</v>
      </c>
      <c r="W70" s="13">
        <f t="shared" si="340"/>
        <v>167223.9138059924</v>
      </c>
      <c r="X70" s="13">
        <f t="shared" si="341"/>
        <v>79736.302580402946</v>
      </c>
      <c r="Y70" s="13">
        <f t="shared" si="342"/>
        <v>38020.147983313509</v>
      </c>
      <c r="Z70" s="13">
        <f t="shared" si="343"/>
        <v>18128.902468660261</v>
      </c>
      <c r="AA70" s="13">
        <f t="shared" si="344"/>
        <v>8644.2878883144203</v>
      </c>
      <c r="AB70" s="13">
        <f t="shared" si="345"/>
        <v>4121.8001601084643</v>
      </c>
      <c r="AC70" s="13">
        <f t="shared" si="346"/>
        <v>4588.337579751973</v>
      </c>
      <c r="AD70" s="13">
        <f t="shared" si="347"/>
        <v>47617256.785755403</v>
      </c>
      <c r="AE70" s="13">
        <f t="shared" si="348"/>
        <v>32978657.532275807</v>
      </c>
      <c r="AF70" s="13">
        <f t="shared" si="349"/>
        <v>18515688.395248141</v>
      </c>
      <c r="AG70" s="13">
        <f t="shared" si="350"/>
        <v>15466792.685599241</v>
      </c>
      <c r="AH70" s="21">
        <f t="shared" si="250"/>
        <v>0</v>
      </c>
      <c r="AI70" s="21">
        <f t="shared" si="251"/>
        <v>1538.0188032719941</v>
      </c>
      <c r="AJ70" s="21">
        <f t="shared" si="252"/>
        <v>19753.361990737983</v>
      </c>
      <c r="AK70" s="21">
        <f t="shared" si="253"/>
        <v>89397.09674595292</v>
      </c>
      <c r="AL70" s="21">
        <f t="shared" si="254"/>
        <v>154751.53688164658</v>
      </c>
      <c r="AM70" s="21">
        <f t="shared" si="255"/>
        <v>135486.5752173393</v>
      </c>
      <c r="AN70" s="21">
        <f t="shared" si="256"/>
        <v>74691.93228031641</v>
      </c>
      <c r="AO70" s="21">
        <f t="shared" si="257"/>
        <v>37429.835159362061</v>
      </c>
      <c r="AP70" s="21">
        <f t="shared" si="258"/>
        <v>18030.62473422489</v>
      </c>
      <c r="AQ70" s="21">
        <f t="shared" si="259"/>
        <v>8618.3550246494779</v>
      </c>
      <c r="AR70" s="21">
        <f t="shared" si="260"/>
        <v>4121.8001601084643</v>
      </c>
      <c r="AS70" s="21">
        <f t="shared" si="261"/>
        <v>4588.337579751973</v>
      </c>
      <c r="AT70" s="21">
        <f t="shared" si="262"/>
        <v>0</v>
      </c>
      <c r="AU70" s="21">
        <f t="shared" si="263"/>
        <v>16489328.766137904</v>
      </c>
      <c r="AV70" s="21">
        <f t="shared" si="264"/>
        <v>18515688.395248141</v>
      </c>
      <c r="AW70" s="21">
        <f t="shared" si="265"/>
        <v>15466792.685599241</v>
      </c>
      <c r="AX70" s="13">
        <f t="shared" si="351"/>
        <v>0.2</v>
      </c>
      <c r="AY70" s="13">
        <f t="shared" si="382"/>
        <v>0.6</v>
      </c>
      <c r="AZ70" s="13">
        <f t="shared" si="383"/>
        <v>1.2658</v>
      </c>
      <c r="BA70" s="13">
        <f t="shared" si="384"/>
        <v>2.156649028341894</v>
      </c>
      <c r="BB70" s="13">
        <f t="shared" si="385"/>
        <v>3.3190880025279199</v>
      </c>
      <c r="BC70" s="13">
        <f t="shared" si="386"/>
        <v>4.8257420950480556</v>
      </c>
      <c r="BD70" s="13">
        <f t="shared" si="387"/>
        <v>6.742847107177476</v>
      </c>
      <c r="BE70" s="13">
        <f t="shared" si="388"/>
        <v>9.1478573585553651</v>
      </c>
      <c r="BF70" s="13">
        <f t="shared" si="389"/>
        <v>11.1020171402591</v>
      </c>
      <c r="BG70" s="13">
        <f t="shared" si="390"/>
        <v>13.304611500662281</v>
      </c>
      <c r="BH70" s="13">
        <f t="shared" si="391"/>
        <v>15.18794127518864</v>
      </c>
      <c r="BI70" s="13">
        <f t="shared" si="392"/>
        <v>16.898472536713228</v>
      </c>
      <c r="BJ70" s="13">
        <f t="shared" si="266"/>
        <v>4.0000000000000001E-3</v>
      </c>
      <c r="BK70" s="13">
        <f t="shared" si="267"/>
        <v>0.01</v>
      </c>
      <c r="BL70" s="13">
        <f t="shared" si="268"/>
        <v>0.02</v>
      </c>
      <c r="BM70" s="13">
        <f t="shared" si="269"/>
        <v>0.03</v>
      </c>
      <c r="BN70" s="30">
        <f t="shared" si="352"/>
        <v>4693566.6072936514</v>
      </c>
      <c r="BO70" s="30">
        <f t="shared" si="353"/>
        <v>1354573.1509387195</v>
      </c>
      <c r="BP70" s="30">
        <f t="shared" si="354"/>
        <v>2687198.8155854209</v>
      </c>
      <c r="BQ70" s="30">
        <f t="shared" si="355"/>
        <v>999210.83613431908</v>
      </c>
      <c r="BR70" s="36">
        <f t="shared" si="270"/>
        <v>0.3</v>
      </c>
      <c r="BS70" s="36">
        <f t="shared" si="271"/>
        <v>0.25</v>
      </c>
      <c r="BT70" s="36">
        <f t="shared" si="272"/>
        <v>0.2</v>
      </c>
      <c r="BU70" s="36">
        <f t="shared" si="273"/>
        <v>0.2</v>
      </c>
      <c r="BV70" s="36">
        <f t="shared" si="274"/>
        <v>0.2</v>
      </c>
      <c r="BW70" s="36">
        <f t="shared" si="275"/>
        <v>0.2</v>
      </c>
      <c r="BX70" s="36">
        <f t="shared" si="276"/>
        <v>0.2</v>
      </c>
      <c r="BY70" s="36">
        <f t="shared" si="277"/>
        <v>0.2</v>
      </c>
      <c r="BZ70" s="36">
        <f t="shared" si="278"/>
        <v>0.2</v>
      </c>
      <c r="CA70" s="36">
        <f t="shared" si="279"/>
        <v>0.2</v>
      </c>
      <c r="CB70" s="36">
        <f t="shared" si="280"/>
        <v>0.2</v>
      </c>
      <c r="CC70" s="36">
        <f t="shared" si="281"/>
        <v>0.2</v>
      </c>
      <c r="CD70" s="35">
        <f t="shared" si="282"/>
        <v>0.36733462225050384</v>
      </c>
      <c r="CE70" s="35">
        <f t="shared" si="283"/>
        <v>0.36733462225050384</v>
      </c>
      <c r="CF70" s="35">
        <f t="shared" si="284"/>
        <v>0.36733462225050384</v>
      </c>
      <c r="CG70" s="35">
        <f t="shared" si="285"/>
        <v>0.36733462225050384</v>
      </c>
      <c r="CH70" s="28">
        <f t="shared" si="286"/>
        <v>0</v>
      </c>
      <c r="CI70" s="28">
        <f t="shared" si="287"/>
        <v>0</v>
      </c>
      <c r="CJ70" s="28">
        <f t="shared" si="288"/>
        <v>15770.614050839107</v>
      </c>
      <c r="CK70" s="28">
        <f t="shared" si="289"/>
        <v>23888.724526754366</v>
      </c>
      <c r="CL70" s="28">
        <f t="shared" si="290"/>
        <v>32524.842134046427</v>
      </c>
      <c r="CM70" s="28">
        <f t="shared" si="291"/>
        <v>31774.254133536084</v>
      </c>
      <c r="CN70" s="28">
        <f t="shared" si="292"/>
        <v>22669.837944952065</v>
      </c>
      <c r="CO70" s="28">
        <f t="shared" si="293"/>
        <v>15649.069200637397</v>
      </c>
      <c r="CP70" s="28">
        <f t="shared" si="294"/>
        <v>9597.6668251324045</v>
      </c>
      <c r="CQ70" s="28">
        <f t="shared" si="295"/>
        <v>5787.4686645231777</v>
      </c>
      <c r="CR70" s="28">
        <f t="shared" si="296"/>
        <v>3303.6965692072022</v>
      </c>
      <c r="CS70" s="28">
        <f t="shared" si="297"/>
        <v>4270.9585703009598</v>
      </c>
      <c r="CT70" s="44">
        <f t="shared" si="356"/>
        <v>0</v>
      </c>
      <c r="CU70" s="44">
        <f t="shared" si="357"/>
        <v>0</v>
      </c>
      <c r="CV70" s="44">
        <f t="shared" si="358"/>
        <v>3.9498611918474438E-2</v>
      </c>
      <c r="CW70" s="44">
        <f t="shared" si="359"/>
        <v>7.3077736808244032E-2</v>
      </c>
      <c r="CX70" s="44">
        <f t="shared" si="360"/>
        <v>0.12152516522693971</v>
      </c>
      <c r="CY70" s="44">
        <f t="shared" si="361"/>
        <v>0.19001022886235944</v>
      </c>
      <c r="CZ70" s="44">
        <f t="shared" si="362"/>
        <v>0.28431012238237025</v>
      </c>
      <c r="DA70" s="44">
        <f t="shared" si="363"/>
        <v>0.41159937640183691</v>
      </c>
      <c r="DB70" s="44">
        <f t="shared" si="364"/>
        <v>0.52941245846096052</v>
      </c>
      <c r="DC70" s="44">
        <f t="shared" si="365"/>
        <v>0.66951364175952921</v>
      </c>
      <c r="DD70" s="44">
        <f t="shared" si="366"/>
        <v>0.80151789045499622</v>
      </c>
      <c r="DE70" s="44">
        <f t="shared" si="367"/>
        <v>0.93082919381268159</v>
      </c>
      <c r="DF70" s="21">
        <f t="shared" si="298"/>
        <v>0</v>
      </c>
      <c r="DG70" s="21">
        <f t="shared" si="299"/>
        <v>0</v>
      </c>
      <c r="DH70" s="21">
        <f t="shared" si="300"/>
        <v>0</v>
      </c>
      <c r="DI70" s="21">
        <f t="shared" si="301"/>
        <v>0</v>
      </c>
      <c r="DJ70" s="21">
        <f t="shared" si="302"/>
        <v>57712.766900266804</v>
      </c>
      <c r="DK70" s="21">
        <f t="shared" si="303"/>
        <v>63861.74614431087</v>
      </c>
      <c r="DL70" s="21">
        <f t="shared" si="304"/>
        <v>30450.785404911265</v>
      </c>
      <c r="DM70" s="21">
        <f t="shared" si="305"/>
        <v>14519.652025944226</v>
      </c>
      <c r="DN70" s="21">
        <f t="shared" si="306"/>
        <v>6923.3122283678131</v>
      </c>
      <c r="DO70" s="21">
        <f t="shared" si="307"/>
        <v>3301.1984121023156</v>
      </c>
      <c r="DP70" s="21">
        <f t="shared" si="308"/>
        <v>1574.0891926965178</v>
      </c>
      <c r="DQ70" s="21">
        <f t="shared" si="309"/>
        <v>1752.2568577271393</v>
      </c>
      <c r="DR70" s="21">
        <f t="shared" si="310"/>
        <v>0</v>
      </c>
      <c r="DS70" s="21">
        <f t="shared" si="311"/>
        <v>5259294.9236499034</v>
      </c>
      <c r="DT70" s="21">
        <f t="shared" si="312"/>
        <v>5380534.1792549342</v>
      </c>
      <c r="DU70" s="21">
        <f t="shared" si="313"/>
        <v>4494545.6475533675</v>
      </c>
      <c r="DV70" s="13">
        <f t="shared" si="314"/>
        <v>0</v>
      </c>
      <c r="DW70" s="13">
        <f t="shared" si="315"/>
        <v>0</v>
      </c>
      <c r="DX70" s="13">
        <f t="shared" si="316"/>
        <v>0</v>
      </c>
      <c r="DY70" s="13">
        <f t="shared" si="317"/>
        <v>0</v>
      </c>
      <c r="DZ70" s="13">
        <f t="shared" si="318"/>
        <v>191553.75221136599</v>
      </c>
      <c r="EA70" s="13">
        <f t="shared" si="319"/>
        <v>308180.31663187384</v>
      </c>
      <c r="EB70" s="13">
        <f t="shared" si="320"/>
        <v>205324.99027878803</v>
      </c>
      <c r="EC70" s="13">
        <f t="shared" si="321"/>
        <v>132823.70562919721</v>
      </c>
      <c r="ED70" s="13">
        <f t="shared" si="322"/>
        <v>76862.731026704889</v>
      </c>
      <c r="EE70" s="13">
        <f t="shared" si="323"/>
        <v>43921.162359624526</v>
      </c>
      <c r="EF70" s="13">
        <f t="shared" si="324"/>
        <v>23907.174220583809</v>
      </c>
      <c r="EG70" s="13">
        <f t="shared" si="325"/>
        <v>29610.464387569482</v>
      </c>
      <c r="EH70" s="13">
        <f t="shared" si="326"/>
        <v>0</v>
      </c>
      <c r="EI70" s="13">
        <f t="shared" si="327"/>
        <v>52592.949236499036</v>
      </c>
      <c r="EJ70" s="13">
        <f t="shared" si="328"/>
        <v>107610.68358509868</v>
      </c>
      <c r="EK70" s="13">
        <f t="shared" si="329"/>
        <v>134836.36942660101</v>
      </c>
      <c r="EL70" s="21">
        <f t="shared" si="368"/>
        <v>1012184.2967457076</v>
      </c>
      <c r="EM70" s="21">
        <f t="shared" si="369"/>
        <v>295040.00224819873</v>
      </c>
      <c r="EN70" s="21">
        <f t="shared" si="330"/>
        <v>15182764451.185614</v>
      </c>
      <c r="EO70" s="21">
        <f t="shared" si="331"/>
        <v>6638400050.5844717</v>
      </c>
      <c r="EP70" s="21">
        <f t="shared" si="332"/>
        <v>12930228021.322355</v>
      </c>
      <c r="EQ70" s="21">
        <f t="shared" si="333"/>
        <v>4539324106.1676426</v>
      </c>
      <c r="ER70" s="21">
        <f t="shared" si="334"/>
        <v>453648698.50474221</v>
      </c>
      <c r="ES70" s="21">
        <f t="shared" si="335"/>
        <v>159259254.31928742</v>
      </c>
    </row>
    <row r="71" spans="1:149" ht="15.75" thickBot="1" x14ac:dyDescent="0.3">
      <c r="A71" s="53" t="s">
        <v>81</v>
      </c>
      <c r="B71" s="54">
        <v>0</v>
      </c>
      <c r="C71" s="54">
        <v>0</v>
      </c>
      <c r="D71" s="60">
        <f t="shared" si="370"/>
        <v>4.0000000000000001E-8</v>
      </c>
      <c r="E71" s="60">
        <f t="shared" si="371"/>
        <v>7.4005372096697751E-8</v>
      </c>
      <c r="F71" s="60">
        <f t="shared" si="372"/>
        <v>1.2306778322009795E-7</v>
      </c>
      <c r="G71" s="60">
        <f t="shared" si="373"/>
        <v>1.924221835993048E-7</v>
      </c>
      <c r="H71" s="60">
        <f t="shared" si="374"/>
        <v>2.8791910254384573E-7</v>
      </c>
      <c r="I71" s="60">
        <f t="shared" si="375"/>
        <v>4.1682414283457096E-7</v>
      </c>
      <c r="J71" s="60">
        <f t="shared" si="376"/>
        <v>5.36132722389003E-7</v>
      </c>
      <c r="K71" s="60">
        <f t="shared" si="377"/>
        <v>6.7801232422183606E-7</v>
      </c>
      <c r="L71" s="60">
        <f t="shared" si="378"/>
        <v>8.1169221045978823E-7</v>
      </c>
      <c r="M71" s="61">
        <f t="shared" si="379"/>
        <v>9.4264496760941696E-7</v>
      </c>
      <c r="O71" s="3">
        <v>69</v>
      </c>
      <c r="P71" s="21">
        <f t="shared" si="380"/>
        <v>450507.28597265156</v>
      </c>
      <c r="Q71" s="21">
        <f t="shared" si="381"/>
        <v>419815.18888336571</v>
      </c>
      <c r="R71" s="13">
        <f t="shared" si="393"/>
        <v>692036.07593250449</v>
      </c>
      <c r="S71" s="13">
        <f t="shared" si="336"/>
        <v>512672.93442160275</v>
      </c>
      <c r="T71" s="13">
        <f t="shared" si="337"/>
        <v>399270.08278892469</v>
      </c>
      <c r="U71" s="13">
        <f t="shared" si="338"/>
        <v>326894.69556540309</v>
      </c>
      <c r="V71" s="13">
        <f t="shared" si="339"/>
        <v>267638.74027986638</v>
      </c>
      <c r="W71" s="13">
        <f t="shared" si="340"/>
        <v>167223.91380309899</v>
      </c>
      <c r="X71" s="13">
        <f t="shared" si="341"/>
        <v>79736.302578488903</v>
      </c>
      <c r="Y71" s="13">
        <f t="shared" si="342"/>
        <v>38020.147982047303</v>
      </c>
      <c r="Z71" s="13">
        <f t="shared" si="343"/>
        <v>18128.902467822609</v>
      </c>
      <c r="AA71" s="13">
        <f t="shared" si="344"/>
        <v>8644.287887760278</v>
      </c>
      <c r="AB71" s="13">
        <f t="shared" si="345"/>
        <v>4121.8001597419016</v>
      </c>
      <c r="AC71" s="13">
        <f t="shared" si="346"/>
        <v>4588.337578877311</v>
      </c>
      <c r="AD71" s="13">
        <f t="shared" si="347"/>
        <v>47617256.785861142</v>
      </c>
      <c r="AE71" s="13">
        <f t="shared" si="348"/>
        <v>32978657.532574791</v>
      </c>
      <c r="AF71" s="13">
        <f t="shared" si="349"/>
        <v>18515688.395591836</v>
      </c>
      <c r="AG71" s="13">
        <f t="shared" si="350"/>
        <v>15466792.686439134</v>
      </c>
      <c r="AH71" s="21">
        <f t="shared" si="250"/>
        <v>0</v>
      </c>
      <c r="AI71" s="21">
        <f t="shared" si="251"/>
        <v>1538.0188032648082</v>
      </c>
      <c r="AJ71" s="21">
        <f t="shared" si="252"/>
        <v>19753.361990609959</v>
      </c>
      <c r="AK71" s="21">
        <f t="shared" si="253"/>
        <v>89397.09674514916</v>
      </c>
      <c r="AL71" s="21">
        <f t="shared" si="254"/>
        <v>154751.53687971647</v>
      </c>
      <c r="AM71" s="21">
        <f t="shared" si="255"/>
        <v>135486.57521499501</v>
      </c>
      <c r="AN71" s="21">
        <f t="shared" si="256"/>
        <v>74691.932278523454</v>
      </c>
      <c r="AO71" s="21">
        <f t="shared" si="257"/>
        <v>37429.835158115515</v>
      </c>
      <c r="AP71" s="21">
        <f t="shared" si="258"/>
        <v>18030.624733391782</v>
      </c>
      <c r="AQ71" s="21">
        <f t="shared" si="259"/>
        <v>8618.355024096998</v>
      </c>
      <c r="AR71" s="21">
        <f t="shared" si="260"/>
        <v>4121.8001597419016</v>
      </c>
      <c r="AS71" s="21">
        <f t="shared" si="261"/>
        <v>4588.337578877311</v>
      </c>
      <c r="AT71" s="21">
        <f t="shared" si="262"/>
        <v>0</v>
      </c>
      <c r="AU71" s="21">
        <f t="shared" si="263"/>
        <v>16489328.766287396</v>
      </c>
      <c r="AV71" s="21">
        <f t="shared" si="264"/>
        <v>18515688.395591836</v>
      </c>
      <c r="AW71" s="21">
        <f t="shared" si="265"/>
        <v>15466792.686439134</v>
      </c>
      <c r="AX71" s="13">
        <f t="shared" si="351"/>
        <v>0.2</v>
      </c>
      <c r="AY71" s="13">
        <f t="shared" si="382"/>
        <v>0.6</v>
      </c>
      <c r="AZ71" s="13">
        <f t="shared" si="383"/>
        <v>1.2658</v>
      </c>
      <c r="BA71" s="13">
        <f t="shared" si="384"/>
        <v>2.1566490283429323</v>
      </c>
      <c r="BB71" s="13">
        <f t="shared" si="385"/>
        <v>3.3190880025310876</v>
      </c>
      <c r="BC71" s="13">
        <f t="shared" si="386"/>
        <v>4.8257420950550065</v>
      </c>
      <c r="BD71" s="13">
        <f t="shared" si="387"/>
        <v>6.7428471071906113</v>
      </c>
      <c r="BE71" s="13">
        <f t="shared" si="388"/>
        <v>9.1478573585780705</v>
      </c>
      <c r="BF71" s="13">
        <f t="shared" si="389"/>
        <v>11.102017140296008</v>
      </c>
      <c r="BG71" s="13">
        <f t="shared" si="390"/>
        <v>13.304611500720437</v>
      </c>
      <c r="BH71" s="13">
        <f t="shared" si="391"/>
        <v>15.187941275278115</v>
      </c>
      <c r="BI71" s="13">
        <f t="shared" si="392"/>
        <v>16.898472536847891</v>
      </c>
      <c r="BJ71" s="13">
        <f t="shared" si="266"/>
        <v>4.0000000000000001E-3</v>
      </c>
      <c r="BK71" s="13">
        <f t="shared" si="267"/>
        <v>0.01</v>
      </c>
      <c r="BL71" s="13">
        <f t="shared" si="268"/>
        <v>0.02</v>
      </c>
      <c r="BM71" s="13">
        <f t="shared" si="269"/>
        <v>0.03</v>
      </c>
      <c r="BN71" s="30">
        <f t="shared" si="352"/>
        <v>4693566.6072020009</v>
      </c>
      <c r="BO71" s="30">
        <f t="shared" si="353"/>
        <v>1354573.1509742031</v>
      </c>
      <c r="BP71" s="30">
        <f t="shared" si="354"/>
        <v>2687198.8155108704</v>
      </c>
      <c r="BQ71" s="30">
        <f t="shared" si="355"/>
        <v>999210.83616788476</v>
      </c>
      <c r="BR71" s="36">
        <f t="shared" si="270"/>
        <v>0.3</v>
      </c>
      <c r="BS71" s="36">
        <f t="shared" si="271"/>
        <v>0.25</v>
      </c>
      <c r="BT71" s="36">
        <f t="shared" si="272"/>
        <v>0.2</v>
      </c>
      <c r="BU71" s="36">
        <f t="shared" si="273"/>
        <v>0.2</v>
      </c>
      <c r="BV71" s="36">
        <f t="shared" si="274"/>
        <v>0.2</v>
      </c>
      <c r="BW71" s="36">
        <f t="shared" si="275"/>
        <v>0.2</v>
      </c>
      <c r="BX71" s="36">
        <f t="shared" si="276"/>
        <v>0.2</v>
      </c>
      <c r="BY71" s="36">
        <f t="shared" si="277"/>
        <v>0.2</v>
      </c>
      <c r="BZ71" s="36">
        <f t="shared" si="278"/>
        <v>0.2</v>
      </c>
      <c r="CA71" s="36">
        <f t="shared" si="279"/>
        <v>0.2</v>
      </c>
      <c r="CB71" s="36">
        <f t="shared" si="280"/>
        <v>0.2</v>
      </c>
      <c r="CC71" s="36">
        <f t="shared" si="281"/>
        <v>0.2</v>
      </c>
      <c r="CD71" s="35">
        <f t="shared" si="282"/>
        <v>0.36733462224618951</v>
      </c>
      <c r="CE71" s="35">
        <f t="shared" si="283"/>
        <v>0.36733462224618951</v>
      </c>
      <c r="CF71" s="35">
        <f t="shared" si="284"/>
        <v>0.36733462224618951</v>
      </c>
      <c r="CG71" s="35">
        <f t="shared" si="285"/>
        <v>0.36733462224618951</v>
      </c>
      <c r="CH71" s="28">
        <f t="shared" si="286"/>
        <v>0</v>
      </c>
      <c r="CI71" s="28">
        <f t="shared" si="287"/>
        <v>0</v>
      </c>
      <c r="CJ71" s="28">
        <f t="shared" si="288"/>
        <v>15770.61405116364</v>
      </c>
      <c r="CK71" s="28">
        <f t="shared" si="289"/>
        <v>23888.724527186001</v>
      </c>
      <c r="CL71" s="28">
        <f t="shared" si="290"/>
        <v>32524.842134520877</v>
      </c>
      <c r="CM71" s="28">
        <f t="shared" si="291"/>
        <v>31774.254133846098</v>
      </c>
      <c r="CN71" s="28">
        <f t="shared" si="292"/>
        <v>22669.837945021318</v>
      </c>
      <c r="CO71" s="28">
        <f t="shared" si="293"/>
        <v>15649.069200539685</v>
      </c>
      <c r="CP71" s="28">
        <f t="shared" si="294"/>
        <v>9597.6668249486502</v>
      </c>
      <c r="CQ71" s="28">
        <f t="shared" si="295"/>
        <v>5787.468664308778</v>
      </c>
      <c r="CR71" s="28">
        <f t="shared" si="296"/>
        <v>3303.6965690027919</v>
      </c>
      <c r="CS71" s="28">
        <f t="shared" si="297"/>
        <v>4270.9585696023696</v>
      </c>
      <c r="CT71" s="44">
        <f t="shared" si="356"/>
        <v>0</v>
      </c>
      <c r="CU71" s="44">
        <f t="shared" si="357"/>
        <v>0</v>
      </c>
      <c r="CV71" s="44">
        <f t="shared" si="358"/>
        <v>3.949861191954325E-2</v>
      </c>
      <c r="CW71" s="44">
        <f t="shared" si="359"/>
        <v>7.3077736810221477E-2</v>
      </c>
      <c r="CX71" s="44">
        <f t="shared" si="360"/>
        <v>0.12152516523022813</v>
      </c>
      <c r="CY71" s="44">
        <f t="shared" si="361"/>
        <v>0.19001022886750099</v>
      </c>
      <c r="CZ71" s="44">
        <f t="shared" si="362"/>
        <v>0.28431012239006354</v>
      </c>
      <c r="DA71" s="44">
        <f t="shared" si="363"/>
        <v>0.41159937641297462</v>
      </c>
      <c r="DB71" s="44">
        <f t="shared" si="364"/>
        <v>0.52941245847528617</v>
      </c>
      <c r="DC71" s="44">
        <f t="shared" si="365"/>
        <v>0.66951364177764594</v>
      </c>
      <c r="DD71" s="44">
        <f t="shared" si="366"/>
        <v>0.80151789047668498</v>
      </c>
      <c r="DE71" s="44">
        <f t="shared" si="367"/>
        <v>0.93082919383786955</v>
      </c>
      <c r="DF71" s="21">
        <f t="shared" si="298"/>
        <v>0</v>
      </c>
      <c r="DG71" s="21">
        <f t="shared" si="299"/>
        <v>0</v>
      </c>
      <c r="DH71" s="21">
        <f t="shared" si="300"/>
        <v>0</v>
      </c>
      <c r="DI71" s="21">
        <f t="shared" si="301"/>
        <v>0</v>
      </c>
      <c r="DJ71" s="21">
        <f t="shared" si="302"/>
        <v>57712.766899546987</v>
      </c>
      <c r="DK71" s="21">
        <f t="shared" si="303"/>
        <v>63861.746143205899</v>
      </c>
      <c r="DL71" s="21">
        <f t="shared" si="304"/>
        <v>30450.785404180304</v>
      </c>
      <c r="DM71" s="21">
        <f t="shared" si="305"/>
        <v>14519.652025460671</v>
      </c>
      <c r="DN71" s="21">
        <f t="shared" si="306"/>
        <v>6923.3122280479183</v>
      </c>
      <c r="DO71" s="21">
        <f t="shared" si="307"/>
        <v>3301.1984118906921</v>
      </c>
      <c r="DP71" s="21">
        <f t="shared" si="308"/>
        <v>1574.0891925565297</v>
      </c>
      <c r="DQ71" s="21">
        <f t="shared" si="309"/>
        <v>1752.2568573931114</v>
      </c>
      <c r="DR71" s="21">
        <f t="shared" si="310"/>
        <v>0</v>
      </c>
      <c r="DS71" s="21">
        <f t="shared" si="311"/>
        <v>5259294.9237078447</v>
      </c>
      <c r="DT71" s="21">
        <f t="shared" si="312"/>
        <v>5380534.1793649113</v>
      </c>
      <c r="DU71" s="21">
        <f t="shared" si="313"/>
        <v>4494545.6478058724</v>
      </c>
      <c r="DV71" s="13">
        <f t="shared" si="314"/>
        <v>0</v>
      </c>
      <c r="DW71" s="13">
        <f t="shared" si="315"/>
        <v>0</v>
      </c>
      <c r="DX71" s="13">
        <f t="shared" si="316"/>
        <v>0</v>
      </c>
      <c r="DY71" s="13">
        <f t="shared" si="317"/>
        <v>0</v>
      </c>
      <c r="DZ71" s="13">
        <f t="shared" si="318"/>
        <v>191553.75220915969</v>
      </c>
      <c r="EA71" s="13">
        <f t="shared" si="319"/>
        <v>308180.31662698544</v>
      </c>
      <c r="EB71" s="13">
        <f t="shared" si="320"/>
        <v>205324.99027425924</v>
      </c>
      <c r="EC71" s="13">
        <f t="shared" si="321"/>
        <v>132823.70562510338</v>
      </c>
      <c r="ED71" s="13">
        <f t="shared" si="322"/>
        <v>76862.731023408938</v>
      </c>
      <c r="EE71" s="13">
        <f t="shared" si="323"/>
        <v>43921.162357000947</v>
      </c>
      <c r="EF71" s="13">
        <f t="shared" si="324"/>
        <v>23907.17421859852</v>
      </c>
      <c r="EG71" s="13">
        <f t="shared" si="325"/>
        <v>29610.464382160884</v>
      </c>
      <c r="EH71" s="13">
        <f t="shared" si="326"/>
        <v>0</v>
      </c>
      <c r="EI71" s="13">
        <f t="shared" si="327"/>
        <v>52592.94923707845</v>
      </c>
      <c r="EJ71" s="13">
        <f t="shared" si="328"/>
        <v>107610.68358729823</v>
      </c>
      <c r="EK71" s="13">
        <f t="shared" si="329"/>
        <v>134836.36943417616</v>
      </c>
      <c r="EL71" s="21">
        <f t="shared" si="368"/>
        <v>1012184.2967166771</v>
      </c>
      <c r="EM71" s="21">
        <f t="shared" si="369"/>
        <v>295040.00225855282</v>
      </c>
      <c r="EN71" s="21">
        <f t="shared" si="330"/>
        <v>15182764450.750156</v>
      </c>
      <c r="EO71" s="21">
        <f t="shared" si="331"/>
        <v>6638400050.8174381</v>
      </c>
      <c r="EP71" s="21">
        <f t="shared" si="332"/>
        <v>12930228020.886898</v>
      </c>
      <c r="EQ71" s="21">
        <f t="shared" si="333"/>
        <v>4539324106.40061</v>
      </c>
      <c r="ER71" s="21">
        <f t="shared" si="334"/>
        <v>431523990.38963109</v>
      </c>
      <c r="ES71" s="21">
        <f t="shared" si="335"/>
        <v>151492088.84032345</v>
      </c>
    </row>
    <row r="72" spans="1:149" x14ac:dyDescent="0.25">
      <c r="O72" s="3">
        <v>70</v>
      </c>
      <c r="P72" s="21">
        <f t="shared" si="380"/>
        <v>450507.28597265156</v>
      </c>
      <c r="Q72" s="21">
        <f t="shared" si="381"/>
        <v>419815.18888336571</v>
      </c>
      <c r="R72" s="13">
        <f t="shared" si="393"/>
        <v>692036.0759308245</v>
      </c>
      <c r="S72" s="13">
        <f t="shared" si="336"/>
        <v>512672.9344198762</v>
      </c>
      <c r="T72" s="13">
        <f t="shared" si="337"/>
        <v>399270.08278705925</v>
      </c>
      <c r="U72" s="13">
        <f t="shared" si="338"/>
        <v>326894.69556328445</v>
      </c>
      <c r="V72" s="13">
        <f t="shared" si="339"/>
        <v>267638.74027746008</v>
      </c>
      <c r="W72" s="13">
        <f t="shared" si="340"/>
        <v>167223.91380101329</v>
      </c>
      <c r="X72" s="13">
        <f t="shared" si="341"/>
        <v>79736.302577109251</v>
      </c>
      <c r="Y72" s="13">
        <f t="shared" si="342"/>
        <v>38020.147981134643</v>
      </c>
      <c r="Z72" s="13">
        <f t="shared" si="343"/>
        <v>18128.90246721885</v>
      </c>
      <c r="AA72" s="13">
        <f t="shared" si="344"/>
        <v>8644.2878873608661</v>
      </c>
      <c r="AB72" s="13">
        <f t="shared" si="345"/>
        <v>4121.8001594776733</v>
      </c>
      <c r="AC72" s="13">
        <f t="shared" si="346"/>
        <v>4588.3375782467683</v>
      </c>
      <c r="AD72" s="13">
        <f t="shared" si="347"/>
        <v>47617256.785937369</v>
      </c>
      <c r="AE72" s="13">
        <f t="shared" si="348"/>
        <v>32978657.532790307</v>
      </c>
      <c r="AF72" s="13">
        <f t="shared" si="349"/>
        <v>18515688.395839579</v>
      </c>
      <c r="AG72" s="13">
        <f t="shared" si="350"/>
        <v>15466792.687044559</v>
      </c>
      <c r="AH72" s="21">
        <f t="shared" si="250"/>
        <v>0</v>
      </c>
      <c r="AI72" s="21">
        <f t="shared" si="251"/>
        <v>1538.0188032596286</v>
      </c>
      <c r="AJ72" s="21">
        <f t="shared" si="252"/>
        <v>19753.361990517671</v>
      </c>
      <c r="AK72" s="21">
        <f t="shared" si="253"/>
        <v>89397.096744569775</v>
      </c>
      <c r="AL72" s="21">
        <f t="shared" si="254"/>
        <v>154751.5368783251</v>
      </c>
      <c r="AM72" s="21">
        <f t="shared" si="255"/>
        <v>135486.57521330516</v>
      </c>
      <c r="AN72" s="21">
        <f t="shared" si="256"/>
        <v>74691.932277231084</v>
      </c>
      <c r="AO72" s="21">
        <f t="shared" si="257"/>
        <v>37429.835157217029</v>
      </c>
      <c r="AP72" s="21">
        <f t="shared" si="258"/>
        <v>18030.624732791293</v>
      </c>
      <c r="AQ72" s="21">
        <f t="shared" si="259"/>
        <v>8618.3550236987849</v>
      </c>
      <c r="AR72" s="21">
        <f t="shared" si="260"/>
        <v>4121.8001594776733</v>
      </c>
      <c r="AS72" s="21">
        <f t="shared" si="261"/>
        <v>4588.3375782467683</v>
      </c>
      <c r="AT72" s="21">
        <f t="shared" si="262"/>
        <v>0</v>
      </c>
      <c r="AU72" s="21">
        <f t="shared" si="263"/>
        <v>16489328.766395153</v>
      </c>
      <c r="AV72" s="21">
        <f t="shared" si="264"/>
        <v>18515688.395839579</v>
      </c>
      <c r="AW72" s="21">
        <f t="shared" si="265"/>
        <v>15466792.687044559</v>
      </c>
      <c r="AX72" s="13">
        <f t="shared" si="351"/>
        <v>0.2</v>
      </c>
      <c r="AY72" s="13">
        <f t="shared" si="382"/>
        <v>0.6</v>
      </c>
      <c r="AZ72" s="13">
        <f t="shared" si="383"/>
        <v>1.2658</v>
      </c>
      <c r="BA72" s="13">
        <f t="shared" si="384"/>
        <v>2.1566490283436801</v>
      </c>
      <c r="BB72" s="13">
        <f t="shared" si="385"/>
        <v>3.319088002533372</v>
      </c>
      <c r="BC72" s="13">
        <f t="shared" si="386"/>
        <v>4.8257420950600158</v>
      </c>
      <c r="BD72" s="13">
        <f t="shared" si="387"/>
        <v>6.742847107200082</v>
      </c>
      <c r="BE72" s="13">
        <f t="shared" si="388"/>
        <v>9.1478573585944378</v>
      </c>
      <c r="BF72" s="13">
        <f t="shared" si="389"/>
        <v>11.102017140322612</v>
      </c>
      <c r="BG72" s="13">
        <f t="shared" si="390"/>
        <v>13.304611500762359</v>
      </c>
      <c r="BH72" s="13">
        <f t="shared" si="391"/>
        <v>15.187941275342613</v>
      </c>
      <c r="BI72" s="13">
        <f t="shared" si="392"/>
        <v>16.898472536944954</v>
      </c>
      <c r="BJ72" s="13">
        <f t="shared" si="266"/>
        <v>4.0000000000000001E-3</v>
      </c>
      <c r="BK72" s="13">
        <f t="shared" si="267"/>
        <v>0.01</v>
      </c>
      <c r="BL72" s="13">
        <f t="shared" si="268"/>
        <v>0.02</v>
      </c>
      <c r="BM72" s="13">
        <f t="shared" si="269"/>
        <v>0.03</v>
      </c>
      <c r="BN72" s="30">
        <f t="shared" si="352"/>
        <v>4693566.6071359375</v>
      </c>
      <c r="BO72" s="30">
        <f t="shared" si="353"/>
        <v>1354573.150999781</v>
      </c>
      <c r="BP72" s="30">
        <f t="shared" si="354"/>
        <v>2687198.8154571326</v>
      </c>
      <c r="BQ72" s="30">
        <f t="shared" si="355"/>
        <v>999210.83619207982</v>
      </c>
      <c r="BR72" s="36">
        <f t="shared" si="270"/>
        <v>0.3</v>
      </c>
      <c r="BS72" s="36">
        <f t="shared" si="271"/>
        <v>0.25</v>
      </c>
      <c r="BT72" s="36">
        <f t="shared" si="272"/>
        <v>0.2</v>
      </c>
      <c r="BU72" s="36">
        <f t="shared" si="273"/>
        <v>0.2</v>
      </c>
      <c r="BV72" s="36">
        <f t="shared" si="274"/>
        <v>0.2</v>
      </c>
      <c r="BW72" s="36">
        <f t="shared" si="275"/>
        <v>0.2</v>
      </c>
      <c r="BX72" s="36">
        <f t="shared" si="276"/>
        <v>0.2</v>
      </c>
      <c r="BY72" s="36">
        <f t="shared" si="277"/>
        <v>0.2</v>
      </c>
      <c r="BZ72" s="36">
        <f t="shared" si="278"/>
        <v>0.2</v>
      </c>
      <c r="CA72" s="36">
        <f t="shared" si="279"/>
        <v>0.2</v>
      </c>
      <c r="CB72" s="36">
        <f t="shared" si="280"/>
        <v>0.2</v>
      </c>
      <c r="CC72" s="36">
        <f t="shared" si="281"/>
        <v>0.2</v>
      </c>
      <c r="CD72" s="35">
        <f t="shared" si="282"/>
        <v>0.36733462224307967</v>
      </c>
      <c r="CE72" s="35">
        <f t="shared" si="283"/>
        <v>0.36733462224307967</v>
      </c>
      <c r="CF72" s="35">
        <f t="shared" si="284"/>
        <v>0.36733462224307967</v>
      </c>
      <c r="CG72" s="35">
        <f t="shared" si="285"/>
        <v>0.36733462224307967</v>
      </c>
      <c r="CH72" s="28">
        <f t="shared" si="286"/>
        <v>0</v>
      </c>
      <c r="CI72" s="28">
        <f t="shared" si="287"/>
        <v>0</v>
      </c>
      <c r="CJ72" s="28">
        <f t="shared" si="288"/>
        <v>15770.61405139757</v>
      </c>
      <c r="CK72" s="28">
        <f t="shared" si="289"/>
        <v>23888.724527497132</v>
      </c>
      <c r="CL72" s="28">
        <f t="shared" si="290"/>
        <v>32524.842134862862</v>
      </c>
      <c r="CM72" s="28">
        <f t="shared" si="291"/>
        <v>31774.254134069561</v>
      </c>
      <c r="CN72" s="28">
        <f t="shared" si="292"/>
        <v>22669.837945071245</v>
      </c>
      <c r="CO72" s="28">
        <f t="shared" si="293"/>
        <v>15649.069200469272</v>
      </c>
      <c r="CP72" s="28">
        <f t="shared" si="294"/>
        <v>9597.666824816215</v>
      </c>
      <c r="CQ72" s="28">
        <f t="shared" si="295"/>
        <v>5787.468664154253</v>
      </c>
      <c r="CR72" s="28">
        <f t="shared" si="296"/>
        <v>3303.6965688554478</v>
      </c>
      <c r="CS72" s="28">
        <f t="shared" si="297"/>
        <v>4270.9585690987487</v>
      </c>
      <c r="CT72" s="44">
        <f t="shared" si="356"/>
        <v>0</v>
      </c>
      <c r="CU72" s="44">
        <f t="shared" si="357"/>
        <v>0</v>
      </c>
      <c r="CV72" s="44">
        <f t="shared" si="358"/>
        <v>3.9498611920313682E-2</v>
      </c>
      <c r="CW72" s="44">
        <f t="shared" si="359"/>
        <v>7.3077736811646879E-2</v>
      </c>
      <c r="CX72" s="44">
        <f t="shared" si="360"/>
        <v>0.12152516523259854</v>
      </c>
      <c r="CY72" s="44">
        <f t="shared" si="361"/>
        <v>0.19001022887120722</v>
      </c>
      <c r="CZ72" s="44">
        <f t="shared" si="362"/>
        <v>0.28431012239560899</v>
      </c>
      <c r="DA72" s="44">
        <f t="shared" si="363"/>
        <v>0.41159937642100292</v>
      </c>
      <c r="DB72" s="44">
        <f t="shared" si="364"/>
        <v>0.52941245848561236</v>
      </c>
      <c r="DC72" s="44">
        <f t="shared" si="365"/>
        <v>0.66951364179070505</v>
      </c>
      <c r="DD72" s="44">
        <f t="shared" si="366"/>
        <v>0.80151789049231881</v>
      </c>
      <c r="DE72" s="44">
        <f t="shared" si="367"/>
        <v>0.93082919385602569</v>
      </c>
      <c r="DF72" s="21">
        <f t="shared" si="298"/>
        <v>0</v>
      </c>
      <c r="DG72" s="21">
        <f t="shared" si="299"/>
        <v>0</v>
      </c>
      <c r="DH72" s="21">
        <f t="shared" si="300"/>
        <v>0</v>
      </c>
      <c r="DI72" s="21">
        <f t="shared" si="301"/>
        <v>0</v>
      </c>
      <c r="DJ72" s="21">
        <f t="shared" si="302"/>
        <v>57712.766899028094</v>
      </c>
      <c r="DK72" s="21">
        <f t="shared" si="303"/>
        <v>63861.746142409378</v>
      </c>
      <c r="DL72" s="21">
        <f t="shared" si="304"/>
        <v>30450.785403653426</v>
      </c>
      <c r="DM72" s="21">
        <f t="shared" si="305"/>
        <v>14519.652025112133</v>
      </c>
      <c r="DN72" s="21">
        <f t="shared" si="306"/>
        <v>6923.3122278173469</v>
      </c>
      <c r="DO72" s="21">
        <f t="shared" si="307"/>
        <v>3301.1984117381594</v>
      </c>
      <c r="DP72" s="21">
        <f t="shared" si="308"/>
        <v>1574.0891924556227</v>
      </c>
      <c r="DQ72" s="21">
        <f t="shared" si="309"/>
        <v>1752.2568571523113</v>
      </c>
      <c r="DR72" s="21">
        <f t="shared" si="310"/>
        <v>0</v>
      </c>
      <c r="DS72" s="21">
        <f t="shared" si="311"/>
        <v>5259294.9237496099</v>
      </c>
      <c r="DT72" s="21">
        <f t="shared" si="312"/>
        <v>5380534.1794441827</v>
      </c>
      <c r="DU72" s="21">
        <f t="shared" si="313"/>
        <v>4494545.6479878863</v>
      </c>
      <c r="DV72" s="13">
        <f t="shared" si="314"/>
        <v>0</v>
      </c>
      <c r="DW72" s="13">
        <f t="shared" si="315"/>
        <v>0</v>
      </c>
      <c r="DX72" s="13">
        <f t="shared" si="316"/>
        <v>0</v>
      </c>
      <c r="DY72" s="13">
        <f t="shared" si="317"/>
        <v>0</v>
      </c>
      <c r="DZ72" s="13">
        <f t="shared" si="318"/>
        <v>191553.75220756925</v>
      </c>
      <c r="EA72" s="13">
        <f t="shared" si="319"/>
        <v>308180.31662346149</v>
      </c>
      <c r="EB72" s="13">
        <f t="shared" si="320"/>
        <v>205324.99027099498</v>
      </c>
      <c r="EC72" s="13">
        <f t="shared" si="321"/>
        <v>132823.70562215266</v>
      </c>
      <c r="ED72" s="13">
        <f t="shared" si="322"/>
        <v>76862.731021033309</v>
      </c>
      <c r="EE72" s="13">
        <f t="shared" si="323"/>
        <v>43921.162355109947</v>
      </c>
      <c r="EF72" s="13">
        <f t="shared" si="324"/>
        <v>23907.174217167474</v>
      </c>
      <c r="EG72" s="13">
        <f t="shared" si="325"/>
        <v>29610.464378261811</v>
      </c>
      <c r="EH72" s="13">
        <f t="shared" si="326"/>
        <v>0</v>
      </c>
      <c r="EI72" s="13">
        <f t="shared" si="327"/>
        <v>52592.949237496097</v>
      </c>
      <c r="EJ72" s="13">
        <f t="shared" si="328"/>
        <v>107610.68358888365</v>
      </c>
      <c r="EK72" s="13">
        <f t="shared" si="329"/>
        <v>134836.36943963659</v>
      </c>
      <c r="EL72" s="21">
        <f t="shared" si="368"/>
        <v>1012184.2966957508</v>
      </c>
      <c r="EM72" s="21">
        <f t="shared" si="369"/>
        <v>295040.00226601632</v>
      </c>
      <c r="EN72" s="21">
        <f t="shared" si="330"/>
        <v>15182764450.436262</v>
      </c>
      <c r="EO72" s="21">
        <f t="shared" si="331"/>
        <v>6638400050.9853668</v>
      </c>
      <c r="EP72" s="21">
        <f t="shared" si="332"/>
        <v>12930228020.573004</v>
      </c>
      <c r="EQ72" s="21">
        <f t="shared" si="333"/>
        <v>4539324106.5685387</v>
      </c>
      <c r="ER72" s="21">
        <f t="shared" si="334"/>
        <v>410478317.02661574</v>
      </c>
      <c r="ES72" s="21">
        <f t="shared" si="335"/>
        <v>144103732.48932296</v>
      </c>
    </row>
    <row r="73" spans="1:149" x14ac:dyDescent="0.25">
      <c r="O73" s="3">
        <v>71</v>
      </c>
      <c r="P73" s="21">
        <f t="shared" si="380"/>
        <v>450507.28597265156</v>
      </c>
      <c r="Q73" s="21">
        <f t="shared" si="381"/>
        <v>419815.18888336571</v>
      </c>
      <c r="R73" s="13">
        <f t="shared" si="393"/>
        <v>692036.07592961343</v>
      </c>
      <c r="S73" s="13">
        <f t="shared" si="336"/>
        <v>512672.9344186316</v>
      </c>
      <c r="T73" s="13">
        <f t="shared" si="337"/>
        <v>399270.08278571459</v>
      </c>
      <c r="U73" s="13">
        <f t="shared" si="338"/>
        <v>326894.69556175714</v>
      </c>
      <c r="V73" s="13">
        <f t="shared" si="339"/>
        <v>267638.74027572549</v>
      </c>
      <c r="W73" s="13">
        <f t="shared" si="340"/>
        <v>167223.91379950981</v>
      </c>
      <c r="X73" s="13">
        <f t="shared" si="341"/>
        <v>79736.302576114744</v>
      </c>
      <c r="Y73" s="13">
        <f t="shared" si="342"/>
        <v>38020.147980476795</v>
      </c>
      <c r="Z73" s="13">
        <f t="shared" si="343"/>
        <v>18128.902466783671</v>
      </c>
      <c r="AA73" s="13">
        <f t="shared" si="344"/>
        <v>8644.2878870729801</v>
      </c>
      <c r="AB73" s="13">
        <f t="shared" si="345"/>
        <v>4121.8001592872251</v>
      </c>
      <c r="AC73" s="13">
        <f t="shared" si="346"/>
        <v>4588.3375777922247</v>
      </c>
      <c r="AD73" s="13">
        <f t="shared" si="347"/>
        <v>47617256.785992324</v>
      </c>
      <c r="AE73" s="13">
        <f t="shared" si="348"/>
        <v>32978657.532945663</v>
      </c>
      <c r="AF73" s="13">
        <f t="shared" si="349"/>
        <v>18515688.396018162</v>
      </c>
      <c r="AG73" s="13">
        <f t="shared" si="350"/>
        <v>15466792.687480967</v>
      </c>
      <c r="AH73" s="21">
        <f t="shared" si="250"/>
        <v>0</v>
      </c>
      <c r="AI73" s="21">
        <f t="shared" si="251"/>
        <v>1538.0188032558949</v>
      </c>
      <c r="AJ73" s="21">
        <f t="shared" si="252"/>
        <v>19753.361990451147</v>
      </c>
      <c r="AK73" s="21">
        <f t="shared" si="253"/>
        <v>89397.096744152092</v>
      </c>
      <c r="AL73" s="21">
        <f t="shared" si="254"/>
        <v>154751.53687732216</v>
      </c>
      <c r="AM73" s="21">
        <f t="shared" si="255"/>
        <v>135486.57521208705</v>
      </c>
      <c r="AN73" s="21">
        <f t="shared" si="256"/>
        <v>74691.932276299485</v>
      </c>
      <c r="AO73" s="21">
        <f t="shared" si="257"/>
        <v>37429.835156569388</v>
      </c>
      <c r="AP73" s="21">
        <f t="shared" si="258"/>
        <v>18030.624732358476</v>
      </c>
      <c r="AQ73" s="21">
        <f t="shared" si="259"/>
        <v>8618.3550234117629</v>
      </c>
      <c r="AR73" s="21">
        <f t="shared" si="260"/>
        <v>4121.8001592872251</v>
      </c>
      <c r="AS73" s="21">
        <f t="shared" si="261"/>
        <v>4588.3375777922247</v>
      </c>
      <c r="AT73" s="21">
        <f t="shared" si="262"/>
        <v>0</v>
      </c>
      <c r="AU73" s="21">
        <f t="shared" si="263"/>
        <v>16489328.766472831</v>
      </c>
      <c r="AV73" s="21">
        <f t="shared" si="264"/>
        <v>18515688.396018162</v>
      </c>
      <c r="AW73" s="21">
        <f t="shared" si="265"/>
        <v>15466792.687480967</v>
      </c>
      <c r="AX73" s="13">
        <f t="shared" si="351"/>
        <v>0.2</v>
      </c>
      <c r="AY73" s="13">
        <f t="shared" si="382"/>
        <v>0.6</v>
      </c>
      <c r="AZ73" s="13">
        <f t="shared" si="383"/>
        <v>1.2658</v>
      </c>
      <c r="BA73" s="13">
        <f t="shared" si="384"/>
        <v>2.1566490283442197</v>
      </c>
      <c r="BB73" s="13">
        <f t="shared" si="385"/>
        <v>3.3190880025350178</v>
      </c>
      <c r="BC73" s="13">
        <f t="shared" si="386"/>
        <v>4.8257420950636281</v>
      </c>
      <c r="BD73" s="13">
        <f t="shared" si="387"/>
        <v>6.7428471072069076</v>
      </c>
      <c r="BE73" s="13">
        <f t="shared" si="388"/>
        <v>9.1478573586062382</v>
      </c>
      <c r="BF73" s="13">
        <f t="shared" si="389"/>
        <v>11.10201714034179</v>
      </c>
      <c r="BG73" s="13">
        <f t="shared" si="390"/>
        <v>13.304611500792577</v>
      </c>
      <c r="BH73" s="13">
        <f t="shared" si="391"/>
        <v>15.187941275389106</v>
      </c>
      <c r="BI73" s="13">
        <f t="shared" si="392"/>
        <v>16.898472537014925</v>
      </c>
      <c r="BJ73" s="13">
        <f t="shared" si="266"/>
        <v>4.0000000000000001E-3</v>
      </c>
      <c r="BK73" s="13">
        <f t="shared" si="267"/>
        <v>0.01</v>
      </c>
      <c r="BL73" s="13">
        <f t="shared" si="268"/>
        <v>0.02</v>
      </c>
      <c r="BM73" s="13">
        <f t="shared" si="269"/>
        <v>0.03</v>
      </c>
      <c r="BN73" s="30">
        <f t="shared" si="352"/>
        <v>4693566.6070883162</v>
      </c>
      <c r="BO73" s="30">
        <f t="shared" si="353"/>
        <v>1354573.1510182181</v>
      </c>
      <c r="BP73" s="30">
        <f t="shared" si="354"/>
        <v>2687198.8154183975</v>
      </c>
      <c r="BQ73" s="30">
        <f t="shared" si="355"/>
        <v>999210.83620952058</v>
      </c>
      <c r="BR73" s="36">
        <f t="shared" si="270"/>
        <v>0.3</v>
      </c>
      <c r="BS73" s="36">
        <f t="shared" si="271"/>
        <v>0.25</v>
      </c>
      <c r="BT73" s="36">
        <f t="shared" si="272"/>
        <v>0.2</v>
      </c>
      <c r="BU73" s="36">
        <f t="shared" si="273"/>
        <v>0.2</v>
      </c>
      <c r="BV73" s="36">
        <f t="shared" si="274"/>
        <v>0.2</v>
      </c>
      <c r="BW73" s="36">
        <f t="shared" si="275"/>
        <v>0.2</v>
      </c>
      <c r="BX73" s="36">
        <f t="shared" si="276"/>
        <v>0.2</v>
      </c>
      <c r="BY73" s="36">
        <f t="shared" si="277"/>
        <v>0.2</v>
      </c>
      <c r="BZ73" s="36">
        <f t="shared" si="278"/>
        <v>0.2</v>
      </c>
      <c r="CA73" s="36">
        <f t="shared" si="279"/>
        <v>0.2</v>
      </c>
      <c r="CB73" s="36">
        <f t="shared" si="280"/>
        <v>0.2</v>
      </c>
      <c r="CC73" s="36">
        <f t="shared" si="281"/>
        <v>0.2</v>
      </c>
      <c r="CD73" s="35">
        <f t="shared" si="282"/>
        <v>0.3673346222408379</v>
      </c>
      <c r="CE73" s="35">
        <f t="shared" si="283"/>
        <v>0.3673346222408379</v>
      </c>
      <c r="CF73" s="35">
        <f t="shared" si="284"/>
        <v>0.3673346222408379</v>
      </c>
      <c r="CG73" s="35">
        <f t="shared" si="285"/>
        <v>0.3673346222408379</v>
      </c>
      <c r="CH73" s="28">
        <f t="shared" si="286"/>
        <v>0</v>
      </c>
      <c r="CI73" s="28">
        <f t="shared" si="287"/>
        <v>0</v>
      </c>
      <c r="CJ73" s="28">
        <f t="shared" si="288"/>
        <v>15770.614051566194</v>
      </c>
      <c r="CK73" s="28">
        <f t="shared" si="289"/>
        <v>23888.724527721399</v>
      </c>
      <c r="CL73" s="28">
        <f t="shared" si="290"/>
        <v>32524.842135109364</v>
      </c>
      <c r="CM73" s="28">
        <f t="shared" si="291"/>
        <v>31774.254134230629</v>
      </c>
      <c r="CN73" s="28">
        <f t="shared" si="292"/>
        <v>22669.83794510724</v>
      </c>
      <c r="CO73" s="28">
        <f t="shared" si="293"/>
        <v>15649.069200418533</v>
      </c>
      <c r="CP73" s="28">
        <f t="shared" si="294"/>
        <v>9597.6668247207708</v>
      </c>
      <c r="CQ73" s="28">
        <f t="shared" si="295"/>
        <v>5787.4686640428808</v>
      </c>
      <c r="CR73" s="28">
        <f t="shared" si="296"/>
        <v>3303.6965687492502</v>
      </c>
      <c r="CS73" s="28">
        <f t="shared" si="297"/>
        <v>4270.9585687356948</v>
      </c>
      <c r="CT73" s="44">
        <f t="shared" si="356"/>
        <v>0</v>
      </c>
      <c r="CU73" s="44">
        <f t="shared" si="357"/>
        <v>0</v>
      </c>
      <c r="CV73" s="44">
        <f t="shared" si="358"/>
        <v>3.9498611920869037E-2</v>
      </c>
      <c r="CW73" s="44">
        <f t="shared" si="359"/>
        <v>7.3077736812674363E-2</v>
      </c>
      <c r="CX73" s="44">
        <f t="shared" si="360"/>
        <v>0.12152516523430718</v>
      </c>
      <c r="CY73" s="44">
        <f t="shared" si="361"/>
        <v>0.19001022887387875</v>
      </c>
      <c r="CZ73" s="44">
        <f t="shared" si="362"/>
        <v>0.28431012239960646</v>
      </c>
      <c r="DA73" s="44">
        <f t="shared" si="363"/>
        <v>0.41159937642679012</v>
      </c>
      <c r="DB73" s="44">
        <f t="shared" si="364"/>
        <v>0.52941245849305596</v>
      </c>
      <c r="DC73" s="44">
        <f t="shared" si="365"/>
        <v>0.6695136418001183</v>
      </c>
      <c r="DD73" s="44">
        <f t="shared" si="366"/>
        <v>0.80151789050358813</v>
      </c>
      <c r="DE73" s="44">
        <f t="shared" si="367"/>
        <v>0.93082919386911289</v>
      </c>
      <c r="DF73" s="21">
        <f t="shared" si="298"/>
        <v>0</v>
      </c>
      <c r="DG73" s="21">
        <f t="shared" si="299"/>
        <v>0</v>
      </c>
      <c r="DH73" s="21">
        <f t="shared" si="300"/>
        <v>0</v>
      </c>
      <c r="DI73" s="21">
        <f t="shared" si="301"/>
        <v>0</v>
      </c>
      <c r="DJ73" s="21">
        <f t="shared" si="302"/>
        <v>57712.766898654052</v>
      </c>
      <c r="DK73" s="21">
        <f t="shared" si="303"/>
        <v>63861.74614183521</v>
      </c>
      <c r="DL73" s="21">
        <f t="shared" si="304"/>
        <v>30450.785403273629</v>
      </c>
      <c r="DM73" s="21">
        <f t="shared" si="305"/>
        <v>14519.652024860903</v>
      </c>
      <c r="DN73" s="21">
        <f t="shared" si="306"/>
        <v>6923.3122276511549</v>
      </c>
      <c r="DO73" s="21">
        <f t="shared" si="307"/>
        <v>3301.1984116282174</v>
      </c>
      <c r="DP73" s="21">
        <f t="shared" si="308"/>
        <v>1574.0891923828917</v>
      </c>
      <c r="DQ73" s="21">
        <f t="shared" si="309"/>
        <v>1752.256856978724</v>
      </c>
      <c r="DR73" s="21">
        <f t="shared" si="310"/>
        <v>0</v>
      </c>
      <c r="DS73" s="21">
        <f t="shared" si="311"/>
        <v>5259294.9237797149</v>
      </c>
      <c r="DT73" s="21">
        <f t="shared" si="312"/>
        <v>5380534.1795013258</v>
      </c>
      <c r="DU73" s="21">
        <f t="shared" si="313"/>
        <v>4494545.6481190873</v>
      </c>
      <c r="DV73" s="13">
        <f t="shared" si="314"/>
        <v>0</v>
      </c>
      <c r="DW73" s="13">
        <f t="shared" si="315"/>
        <v>0</v>
      </c>
      <c r="DX73" s="13">
        <f t="shared" si="316"/>
        <v>0</v>
      </c>
      <c r="DY73" s="13">
        <f t="shared" si="317"/>
        <v>0</v>
      </c>
      <c r="DZ73" s="13">
        <f t="shared" si="318"/>
        <v>191553.75220642277</v>
      </c>
      <c r="EA73" s="13">
        <f t="shared" si="319"/>
        <v>308180.31662092143</v>
      </c>
      <c r="EB73" s="13">
        <f t="shared" si="320"/>
        <v>205324.99026864191</v>
      </c>
      <c r="EC73" s="13">
        <f t="shared" si="321"/>
        <v>132823.70562002578</v>
      </c>
      <c r="ED73" s="13">
        <f t="shared" si="322"/>
        <v>76862.731019321014</v>
      </c>
      <c r="EE73" s="13">
        <f t="shared" si="323"/>
        <v>43921.162353746971</v>
      </c>
      <c r="EF73" s="13">
        <f t="shared" si="324"/>
        <v>23907.174216136023</v>
      </c>
      <c r="EG73" s="13">
        <f t="shared" si="325"/>
        <v>29610.464375451058</v>
      </c>
      <c r="EH73" s="13">
        <f t="shared" si="326"/>
        <v>0</v>
      </c>
      <c r="EI73" s="13">
        <f t="shared" si="327"/>
        <v>52592.949237797147</v>
      </c>
      <c r="EJ73" s="13">
        <f t="shared" si="328"/>
        <v>107610.68359002651</v>
      </c>
      <c r="EK73" s="13">
        <f t="shared" si="329"/>
        <v>134836.36944357262</v>
      </c>
      <c r="EL73" s="21">
        <f t="shared" si="368"/>
        <v>1012184.296680667</v>
      </c>
      <c r="EM73" s="21">
        <f t="shared" si="369"/>
        <v>295040.00227139628</v>
      </c>
      <c r="EN73" s="21">
        <f t="shared" si="330"/>
        <v>15182764450.210005</v>
      </c>
      <c r="EO73" s="21">
        <f t="shared" si="331"/>
        <v>6638400051.1064167</v>
      </c>
      <c r="EP73" s="21">
        <f t="shared" si="332"/>
        <v>12930228020.346746</v>
      </c>
      <c r="EQ73" s="21">
        <f t="shared" si="333"/>
        <v>4539324106.6895885</v>
      </c>
      <c r="ER73" s="21">
        <f t="shared" si="334"/>
        <v>390459053.268417</v>
      </c>
      <c r="ES73" s="21">
        <f t="shared" si="335"/>
        <v>137075710.52787891</v>
      </c>
    </row>
    <row r="74" spans="1:149" x14ac:dyDescent="0.25">
      <c r="O74" s="3">
        <v>72</v>
      </c>
      <c r="P74" s="21">
        <f t="shared" si="380"/>
        <v>450507.28597265156</v>
      </c>
      <c r="Q74" s="21">
        <f t="shared" si="381"/>
        <v>419815.18888336571</v>
      </c>
      <c r="R74" s="13">
        <f t="shared" si="393"/>
        <v>692036.07592874055</v>
      </c>
      <c r="S74" s="13">
        <f t="shared" si="336"/>
        <v>512672.93441773445</v>
      </c>
      <c r="T74" s="13">
        <f t="shared" si="337"/>
        <v>399270.08278474532</v>
      </c>
      <c r="U74" s="13">
        <f t="shared" si="338"/>
        <v>326894.69556065626</v>
      </c>
      <c r="V74" s="13">
        <f t="shared" si="339"/>
        <v>267638.74027447501</v>
      </c>
      <c r="W74" s="13">
        <f t="shared" si="340"/>
        <v>167223.91379842602</v>
      </c>
      <c r="X74" s="13">
        <f t="shared" si="341"/>
        <v>79736.302575397858</v>
      </c>
      <c r="Y74" s="13">
        <f t="shared" si="342"/>
        <v>38020.147980002592</v>
      </c>
      <c r="Z74" s="13">
        <f t="shared" si="343"/>
        <v>18128.902466469994</v>
      </c>
      <c r="AA74" s="13">
        <f t="shared" si="344"/>
        <v>8644.287886865477</v>
      </c>
      <c r="AB74" s="13">
        <f t="shared" si="345"/>
        <v>4121.8001591499542</v>
      </c>
      <c r="AC74" s="13">
        <f t="shared" si="346"/>
        <v>4588.337577464572</v>
      </c>
      <c r="AD74" s="13">
        <f t="shared" si="347"/>
        <v>47617256.786031924</v>
      </c>
      <c r="AE74" s="13">
        <f t="shared" si="348"/>
        <v>32978657.533057649</v>
      </c>
      <c r="AF74" s="13">
        <f t="shared" si="349"/>
        <v>18515688.396146894</v>
      </c>
      <c r="AG74" s="13">
        <f t="shared" si="350"/>
        <v>15466792.68779555</v>
      </c>
      <c r="AH74" s="21">
        <f t="shared" si="250"/>
        <v>0</v>
      </c>
      <c r="AI74" s="21">
        <f t="shared" si="251"/>
        <v>1538.0188032532033</v>
      </c>
      <c r="AJ74" s="21">
        <f t="shared" si="252"/>
        <v>19753.361990403191</v>
      </c>
      <c r="AK74" s="21">
        <f t="shared" si="253"/>
        <v>89397.096743851027</v>
      </c>
      <c r="AL74" s="21">
        <f t="shared" si="254"/>
        <v>154751.53687659913</v>
      </c>
      <c r="AM74" s="21">
        <f t="shared" si="255"/>
        <v>135486.57521120892</v>
      </c>
      <c r="AN74" s="21">
        <f t="shared" si="256"/>
        <v>74691.932275627958</v>
      </c>
      <c r="AO74" s="21">
        <f t="shared" si="257"/>
        <v>37429.835156102548</v>
      </c>
      <c r="AP74" s="21">
        <f t="shared" si="258"/>
        <v>18030.624732046497</v>
      </c>
      <c r="AQ74" s="21">
        <f t="shared" si="259"/>
        <v>8618.3550232048819</v>
      </c>
      <c r="AR74" s="21">
        <f t="shared" si="260"/>
        <v>4121.8001591499542</v>
      </c>
      <c r="AS74" s="21">
        <f t="shared" si="261"/>
        <v>4588.337577464572</v>
      </c>
      <c r="AT74" s="21">
        <f t="shared" si="262"/>
        <v>0</v>
      </c>
      <c r="AU74" s="21">
        <f t="shared" si="263"/>
        <v>16489328.766528824</v>
      </c>
      <c r="AV74" s="21">
        <f t="shared" si="264"/>
        <v>18515688.396146894</v>
      </c>
      <c r="AW74" s="21">
        <f t="shared" si="265"/>
        <v>15466792.68779555</v>
      </c>
      <c r="AX74" s="13">
        <f t="shared" si="351"/>
        <v>0.2</v>
      </c>
      <c r="AY74" s="13">
        <f t="shared" si="382"/>
        <v>0.6</v>
      </c>
      <c r="AZ74" s="13">
        <f t="shared" si="383"/>
        <v>1.2658</v>
      </c>
      <c r="BA74" s="13">
        <f t="shared" si="384"/>
        <v>2.1566490283446083</v>
      </c>
      <c r="BB74" s="13">
        <f t="shared" si="385"/>
        <v>3.3190880025362044</v>
      </c>
      <c r="BC74" s="13">
        <f t="shared" si="386"/>
        <v>4.8257420950662295</v>
      </c>
      <c r="BD74" s="13">
        <f t="shared" si="387"/>
        <v>6.7428471072118281</v>
      </c>
      <c r="BE74" s="13">
        <f t="shared" si="388"/>
        <v>9.1478573586147434</v>
      </c>
      <c r="BF74" s="13">
        <f t="shared" si="389"/>
        <v>11.102017140355615</v>
      </c>
      <c r="BG74" s="13">
        <f t="shared" si="390"/>
        <v>13.30461150081436</v>
      </c>
      <c r="BH74" s="13">
        <f t="shared" si="391"/>
        <v>15.187941275422617</v>
      </c>
      <c r="BI74" s="13">
        <f t="shared" si="392"/>
        <v>16.898472537065363</v>
      </c>
      <c r="BJ74" s="13">
        <f t="shared" si="266"/>
        <v>4.0000000000000001E-3</v>
      </c>
      <c r="BK74" s="13">
        <f t="shared" si="267"/>
        <v>0.01</v>
      </c>
      <c r="BL74" s="13">
        <f t="shared" si="268"/>
        <v>0.02</v>
      </c>
      <c r="BM74" s="13">
        <f t="shared" si="269"/>
        <v>0.03</v>
      </c>
      <c r="BN74" s="30">
        <f t="shared" si="352"/>
        <v>4693566.6070539886</v>
      </c>
      <c r="BO74" s="30">
        <f t="shared" si="353"/>
        <v>1354573.1510315086</v>
      </c>
      <c r="BP74" s="30">
        <f t="shared" si="354"/>
        <v>2687198.8153904756</v>
      </c>
      <c r="BQ74" s="30">
        <f t="shared" si="355"/>
        <v>999210.83622209262</v>
      </c>
      <c r="BR74" s="36">
        <f t="shared" si="270"/>
        <v>0.3</v>
      </c>
      <c r="BS74" s="36">
        <f t="shared" si="271"/>
        <v>0.25</v>
      </c>
      <c r="BT74" s="36">
        <f t="shared" si="272"/>
        <v>0.2</v>
      </c>
      <c r="BU74" s="36">
        <f t="shared" si="273"/>
        <v>0.2</v>
      </c>
      <c r="BV74" s="36">
        <f t="shared" si="274"/>
        <v>0.2</v>
      </c>
      <c r="BW74" s="36">
        <f t="shared" si="275"/>
        <v>0.2</v>
      </c>
      <c r="BX74" s="36">
        <f t="shared" si="276"/>
        <v>0.2</v>
      </c>
      <c r="BY74" s="36">
        <f t="shared" si="277"/>
        <v>0.2</v>
      </c>
      <c r="BZ74" s="36">
        <f t="shared" si="278"/>
        <v>0.2</v>
      </c>
      <c r="CA74" s="36">
        <f t="shared" si="279"/>
        <v>0.2</v>
      </c>
      <c r="CB74" s="36">
        <f t="shared" si="280"/>
        <v>0.2</v>
      </c>
      <c r="CC74" s="36">
        <f t="shared" si="281"/>
        <v>0.2</v>
      </c>
      <c r="CD74" s="35">
        <f t="shared" si="282"/>
        <v>0.36733462223922209</v>
      </c>
      <c r="CE74" s="35">
        <f t="shared" si="283"/>
        <v>0.36733462223922209</v>
      </c>
      <c r="CF74" s="35">
        <f t="shared" si="284"/>
        <v>0.36733462223922209</v>
      </c>
      <c r="CG74" s="35">
        <f t="shared" si="285"/>
        <v>0.36733462223922209</v>
      </c>
      <c r="CH74" s="28">
        <f t="shared" si="286"/>
        <v>0</v>
      </c>
      <c r="CI74" s="28">
        <f t="shared" si="287"/>
        <v>0</v>
      </c>
      <c r="CJ74" s="28">
        <f t="shared" si="288"/>
        <v>15770.614051687742</v>
      </c>
      <c r="CK74" s="28">
        <f t="shared" si="289"/>
        <v>23888.72452788306</v>
      </c>
      <c r="CL74" s="28">
        <f t="shared" si="290"/>
        <v>32524.842135287043</v>
      </c>
      <c r="CM74" s="28">
        <f t="shared" si="291"/>
        <v>31774.254134346731</v>
      </c>
      <c r="CN74" s="28">
        <f t="shared" si="292"/>
        <v>22669.837945133182</v>
      </c>
      <c r="CO74" s="28">
        <f t="shared" si="293"/>
        <v>15649.069200381951</v>
      </c>
      <c r="CP74" s="28">
        <f t="shared" si="294"/>
        <v>9597.6668246519803</v>
      </c>
      <c r="CQ74" s="28">
        <f t="shared" si="295"/>
        <v>5787.4686639626107</v>
      </c>
      <c r="CR74" s="28">
        <f t="shared" si="296"/>
        <v>3303.6965686727085</v>
      </c>
      <c r="CS74" s="28">
        <f t="shared" si="297"/>
        <v>4270.9585684739923</v>
      </c>
      <c r="CT74" s="44">
        <f t="shared" si="356"/>
        <v>0</v>
      </c>
      <c r="CU74" s="44">
        <f t="shared" si="357"/>
        <v>0</v>
      </c>
      <c r="CV74" s="44">
        <f t="shared" si="358"/>
        <v>3.9498611921269348E-2</v>
      </c>
      <c r="CW74" s="44">
        <f t="shared" si="359"/>
        <v>7.3077736813415006E-2</v>
      </c>
      <c r="CX74" s="44">
        <f t="shared" si="360"/>
        <v>0.12152516523553886</v>
      </c>
      <c r="CY74" s="44">
        <f t="shared" si="361"/>
        <v>0.19001022887580452</v>
      </c>
      <c r="CZ74" s="44">
        <f t="shared" si="362"/>
        <v>0.28431012240248799</v>
      </c>
      <c r="DA74" s="44">
        <f t="shared" si="363"/>
        <v>0.41159937643096162</v>
      </c>
      <c r="DB74" s="44">
        <f t="shared" si="364"/>
        <v>0.52941245849842167</v>
      </c>
      <c r="DC74" s="44">
        <f t="shared" si="365"/>
        <v>0.66951364180690387</v>
      </c>
      <c r="DD74" s="44">
        <f t="shared" si="366"/>
        <v>0.80151789051171163</v>
      </c>
      <c r="DE74" s="44">
        <f t="shared" si="367"/>
        <v>0.9308291938785469</v>
      </c>
      <c r="DF74" s="21">
        <f t="shared" si="298"/>
        <v>0</v>
      </c>
      <c r="DG74" s="21">
        <f t="shared" si="299"/>
        <v>0</v>
      </c>
      <c r="DH74" s="21">
        <f t="shared" si="300"/>
        <v>0</v>
      </c>
      <c r="DI74" s="21">
        <f t="shared" si="301"/>
        <v>0</v>
      </c>
      <c r="DJ74" s="21">
        <f t="shared" si="302"/>
        <v>57712.766898384405</v>
      </c>
      <c r="DK74" s="21">
        <f t="shared" si="303"/>
        <v>63861.746141421318</v>
      </c>
      <c r="DL74" s="21">
        <f t="shared" si="304"/>
        <v>30450.785402999853</v>
      </c>
      <c r="DM74" s="21">
        <f t="shared" si="305"/>
        <v>14519.652024679808</v>
      </c>
      <c r="DN74" s="21">
        <f t="shared" si="306"/>
        <v>6923.3122275313635</v>
      </c>
      <c r="DO74" s="21">
        <f t="shared" si="307"/>
        <v>3301.1984115489731</v>
      </c>
      <c r="DP74" s="21">
        <f t="shared" si="308"/>
        <v>1574.0891923304689</v>
      </c>
      <c r="DQ74" s="21">
        <f t="shared" si="309"/>
        <v>1752.2568568535955</v>
      </c>
      <c r="DR74" s="21">
        <f t="shared" si="310"/>
        <v>0</v>
      </c>
      <c r="DS74" s="21">
        <f t="shared" si="311"/>
        <v>5259294.9238014175</v>
      </c>
      <c r="DT74" s="21">
        <f t="shared" si="312"/>
        <v>5380534.1795425173</v>
      </c>
      <c r="DU74" s="21">
        <f t="shared" si="313"/>
        <v>4494545.6482136622</v>
      </c>
      <c r="DV74" s="13">
        <f t="shared" si="314"/>
        <v>0</v>
      </c>
      <c r="DW74" s="13">
        <f t="shared" si="315"/>
        <v>0</v>
      </c>
      <c r="DX74" s="13">
        <f t="shared" si="316"/>
        <v>0</v>
      </c>
      <c r="DY74" s="13">
        <f t="shared" si="317"/>
        <v>0</v>
      </c>
      <c r="DZ74" s="13">
        <f t="shared" si="318"/>
        <v>191553.75220559628</v>
      </c>
      <c r="EA74" s="13">
        <f t="shared" si="319"/>
        <v>308180.31661909021</v>
      </c>
      <c r="EB74" s="13">
        <f t="shared" si="320"/>
        <v>205324.99026694571</v>
      </c>
      <c r="EC74" s="13">
        <f t="shared" si="321"/>
        <v>132823.70561849265</v>
      </c>
      <c r="ED74" s="13">
        <f t="shared" si="322"/>
        <v>76862.731018086808</v>
      </c>
      <c r="EE74" s="13">
        <f t="shared" si="323"/>
        <v>43921.162352764564</v>
      </c>
      <c r="EF74" s="13">
        <f t="shared" si="324"/>
        <v>23907.174215392577</v>
      </c>
      <c r="EG74" s="13">
        <f t="shared" si="325"/>
        <v>29610.464373424958</v>
      </c>
      <c r="EH74" s="13">
        <f t="shared" si="326"/>
        <v>0</v>
      </c>
      <c r="EI74" s="13">
        <f t="shared" si="327"/>
        <v>52592.949238014175</v>
      </c>
      <c r="EJ74" s="13">
        <f t="shared" si="328"/>
        <v>107610.68359085034</v>
      </c>
      <c r="EK74" s="13">
        <f t="shared" si="329"/>
        <v>134836.36944640987</v>
      </c>
      <c r="EL74" s="21">
        <f t="shared" si="368"/>
        <v>1012184.2966697937</v>
      </c>
      <c r="EM74" s="21">
        <f t="shared" si="369"/>
        <v>295040.00227527437</v>
      </c>
      <c r="EN74" s="21">
        <f t="shared" si="330"/>
        <v>15182764450.046906</v>
      </c>
      <c r="EO74" s="21">
        <f t="shared" si="331"/>
        <v>6638400051.1936731</v>
      </c>
      <c r="EP74" s="21">
        <f t="shared" si="332"/>
        <v>12930228020.183647</v>
      </c>
      <c r="EQ74" s="21">
        <f t="shared" si="333"/>
        <v>4539324106.776844</v>
      </c>
      <c r="ER74" s="21">
        <f t="shared" si="334"/>
        <v>371416140.52692491</v>
      </c>
      <c r="ES74" s="21">
        <f t="shared" si="335"/>
        <v>130390449.24096708</v>
      </c>
    </row>
    <row r="75" spans="1:149" x14ac:dyDescent="0.25">
      <c r="O75" s="3">
        <v>73</v>
      </c>
      <c r="P75" s="21">
        <f t="shared" si="380"/>
        <v>450507.28597265156</v>
      </c>
      <c r="Q75" s="21">
        <f t="shared" si="381"/>
        <v>419815.18888336571</v>
      </c>
      <c r="R75" s="13">
        <f t="shared" si="393"/>
        <v>692036.07592811121</v>
      </c>
      <c r="S75" s="13">
        <f t="shared" si="336"/>
        <v>512672.93441708776</v>
      </c>
      <c r="T75" s="13">
        <f t="shared" si="337"/>
        <v>399270.08278404659</v>
      </c>
      <c r="U75" s="13">
        <f t="shared" si="338"/>
        <v>326894.69555986265</v>
      </c>
      <c r="V75" s="13">
        <f t="shared" si="339"/>
        <v>267638.74027357367</v>
      </c>
      <c r="W75" s="13">
        <f t="shared" si="340"/>
        <v>167223.91379764469</v>
      </c>
      <c r="X75" s="13">
        <f t="shared" si="341"/>
        <v>79736.302574881076</v>
      </c>
      <c r="Y75" s="13">
        <f t="shared" si="342"/>
        <v>38020.14797966076</v>
      </c>
      <c r="Z75" s="13">
        <f t="shared" si="343"/>
        <v>18128.902466243882</v>
      </c>
      <c r="AA75" s="13">
        <f t="shared" si="344"/>
        <v>8644.287886715907</v>
      </c>
      <c r="AB75" s="13">
        <f t="shared" si="345"/>
        <v>4121.8001590510112</v>
      </c>
      <c r="AC75" s="13">
        <f t="shared" si="346"/>
        <v>4588.3375772283944</v>
      </c>
      <c r="AD75" s="13">
        <f t="shared" si="347"/>
        <v>47617256.786060482</v>
      </c>
      <c r="AE75" s="13">
        <f t="shared" si="348"/>
        <v>32978657.533138365</v>
      </c>
      <c r="AF75" s="13">
        <f t="shared" si="349"/>
        <v>18515688.396239687</v>
      </c>
      <c r="AG75" s="13">
        <f t="shared" si="350"/>
        <v>15466792.68802231</v>
      </c>
      <c r="AH75" s="21">
        <f t="shared" si="250"/>
        <v>0</v>
      </c>
      <c r="AI75" s="21">
        <f t="shared" si="251"/>
        <v>1538.0188032512633</v>
      </c>
      <c r="AJ75" s="21">
        <f t="shared" si="252"/>
        <v>19753.361990368623</v>
      </c>
      <c r="AK75" s="21">
        <f t="shared" si="253"/>
        <v>89397.096743634</v>
      </c>
      <c r="AL75" s="21">
        <f t="shared" si="254"/>
        <v>154751.53687607794</v>
      </c>
      <c r="AM75" s="21">
        <f t="shared" si="255"/>
        <v>135486.57521057589</v>
      </c>
      <c r="AN75" s="21">
        <f t="shared" si="256"/>
        <v>74691.932275143859</v>
      </c>
      <c r="AO75" s="21">
        <f t="shared" si="257"/>
        <v>37429.835155766028</v>
      </c>
      <c r="AP75" s="21">
        <f t="shared" si="258"/>
        <v>18030.624731821612</v>
      </c>
      <c r="AQ75" s="21">
        <f t="shared" si="259"/>
        <v>8618.3550230557594</v>
      </c>
      <c r="AR75" s="21">
        <f t="shared" si="260"/>
        <v>4121.8001590510112</v>
      </c>
      <c r="AS75" s="21">
        <f t="shared" si="261"/>
        <v>4588.3375772283944</v>
      </c>
      <c r="AT75" s="21">
        <f t="shared" si="262"/>
        <v>0</v>
      </c>
      <c r="AU75" s="21">
        <f t="shared" si="263"/>
        <v>16489328.766569182</v>
      </c>
      <c r="AV75" s="21">
        <f t="shared" si="264"/>
        <v>18515688.396239687</v>
      </c>
      <c r="AW75" s="21">
        <f t="shared" si="265"/>
        <v>15466792.68802231</v>
      </c>
      <c r="AX75" s="13">
        <f t="shared" si="351"/>
        <v>0.2</v>
      </c>
      <c r="AY75" s="13">
        <f t="shared" si="382"/>
        <v>0.6</v>
      </c>
      <c r="AZ75" s="13">
        <f t="shared" si="383"/>
        <v>1.2658</v>
      </c>
      <c r="BA75" s="13">
        <f t="shared" si="384"/>
        <v>2.1566490283448885</v>
      </c>
      <c r="BB75" s="13">
        <f t="shared" si="385"/>
        <v>3.3190880025370597</v>
      </c>
      <c r="BC75" s="13">
        <f t="shared" si="386"/>
        <v>4.8257420950681063</v>
      </c>
      <c r="BD75" s="13">
        <f t="shared" si="387"/>
        <v>6.7428471072153737</v>
      </c>
      <c r="BE75" s="13">
        <f t="shared" si="388"/>
        <v>9.1478573586208736</v>
      </c>
      <c r="BF75" s="13">
        <f t="shared" si="389"/>
        <v>11.102017140365581</v>
      </c>
      <c r="BG75" s="13">
        <f t="shared" si="390"/>
        <v>13.304611500830063</v>
      </c>
      <c r="BH75" s="13">
        <f t="shared" si="391"/>
        <v>15.187941275446775</v>
      </c>
      <c r="BI75" s="13">
        <f t="shared" si="392"/>
        <v>16.898472537101714</v>
      </c>
      <c r="BJ75" s="13">
        <f t="shared" si="266"/>
        <v>4.0000000000000001E-3</v>
      </c>
      <c r="BK75" s="13">
        <f t="shared" si="267"/>
        <v>0.01</v>
      </c>
      <c r="BL75" s="13">
        <f t="shared" si="268"/>
        <v>0.02</v>
      </c>
      <c r="BM75" s="13">
        <f t="shared" si="269"/>
        <v>0.03</v>
      </c>
      <c r="BN75" s="30">
        <f t="shared" si="352"/>
        <v>4693566.6070292443</v>
      </c>
      <c r="BO75" s="30">
        <f t="shared" si="353"/>
        <v>1354573.1510410886</v>
      </c>
      <c r="BP75" s="30">
        <f t="shared" si="354"/>
        <v>2687198.8153703487</v>
      </c>
      <c r="BQ75" s="30">
        <f t="shared" si="355"/>
        <v>999210.83623115486</v>
      </c>
      <c r="BR75" s="36">
        <f t="shared" si="270"/>
        <v>0.3</v>
      </c>
      <c r="BS75" s="36">
        <f t="shared" si="271"/>
        <v>0.25</v>
      </c>
      <c r="BT75" s="36">
        <f t="shared" si="272"/>
        <v>0.2</v>
      </c>
      <c r="BU75" s="36">
        <f t="shared" si="273"/>
        <v>0.2</v>
      </c>
      <c r="BV75" s="36">
        <f t="shared" si="274"/>
        <v>0.2</v>
      </c>
      <c r="BW75" s="36">
        <f t="shared" si="275"/>
        <v>0.2</v>
      </c>
      <c r="BX75" s="36">
        <f t="shared" si="276"/>
        <v>0.2</v>
      </c>
      <c r="BY75" s="36">
        <f t="shared" si="277"/>
        <v>0.2</v>
      </c>
      <c r="BZ75" s="36">
        <f t="shared" si="278"/>
        <v>0.2</v>
      </c>
      <c r="CA75" s="36">
        <f t="shared" si="279"/>
        <v>0.2</v>
      </c>
      <c r="CB75" s="36">
        <f t="shared" si="280"/>
        <v>0.2</v>
      </c>
      <c r="CC75" s="36">
        <f t="shared" si="281"/>
        <v>0.2</v>
      </c>
      <c r="CD75" s="35">
        <f t="shared" si="282"/>
        <v>0.36733462223805724</v>
      </c>
      <c r="CE75" s="35">
        <f t="shared" si="283"/>
        <v>0.36733462223805724</v>
      </c>
      <c r="CF75" s="35">
        <f t="shared" si="284"/>
        <v>0.36733462223805724</v>
      </c>
      <c r="CG75" s="35">
        <f t="shared" si="285"/>
        <v>0.36733462223805724</v>
      </c>
      <c r="CH75" s="28">
        <f t="shared" si="286"/>
        <v>0</v>
      </c>
      <c r="CI75" s="28">
        <f t="shared" si="287"/>
        <v>0</v>
      </c>
      <c r="CJ75" s="28">
        <f t="shared" si="288"/>
        <v>15770.614051775363</v>
      </c>
      <c r="CK75" s="28">
        <f t="shared" si="289"/>
        <v>23888.724527999588</v>
      </c>
      <c r="CL75" s="28">
        <f t="shared" si="290"/>
        <v>32524.842135415121</v>
      </c>
      <c r="CM75" s="28">
        <f t="shared" si="291"/>
        <v>31774.254134430412</v>
      </c>
      <c r="CN75" s="28">
        <f t="shared" si="292"/>
        <v>22669.837945151874</v>
      </c>
      <c r="CO75" s="28">
        <f t="shared" si="293"/>
        <v>15649.069200355581</v>
      </c>
      <c r="CP75" s="28">
        <f t="shared" si="294"/>
        <v>9597.6668246023928</v>
      </c>
      <c r="CQ75" s="28">
        <f t="shared" si="295"/>
        <v>5787.4686639047532</v>
      </c>
      <c r="CR75" s="28">
        <f t="shared" si="296"/>
        <v>3303.6965686175399</v>
      </c>
      <c r="CS75" s="28">
        <f t="shared" si="297"/>
        <v>4270.9585682853531</v>
      </c>
      <c r="CT75" s="44">
        <f t="shared" si="356"/>
        <v>0</v>
      </c>
      <c r="CU75" s="44">
        <f t="shared" si="357"/>
        <v>0</v>
      </c>
      <c r="CV75" s="44">
        <f t="shared" si="358"/>
        <v>3.9498611921557923E-2</v>
      </c>
      <c r="CW75" s="44">
        <f t="shared" si="359"/>
        <v>7.3077736813948885E-2</v>
      </c>
      <c r="CX75" s="44">
        <f t="shared" si="360"/>
        <v>0.12152516523642667</v>
      </c>
      <c r="CY75" s="44">
        <f t="shared" si="361"/>
        <v>0.19001022887719271</v>
      </c>
      <c r="CZ75" s="44">
        <f t="shared" si="362"/>
        <v>0.28431012240456505</v>
      </c>
      <c r="DA75" s="44">
        <f t="shared" si="363"/>
        <v>0.41159937643396866</v>
      </c>
      <c r="DB75" s="44">
        <f t="shared" si="364"/>
        <v>0.52941245850228946</v>
      </c>
      <c r="DC75" s="44">
        <f t="shared" si="365"/>
        <v>0.66951364181179507</v>
      </c>
      <c r="DD75" s="44">
        <f t="shared" si="366"/>
        <v>0.80151789051756728</v>
      </c>
      <c r="DE75" s="44">
        <f t="shared" si="367"/>
        <v>0.93082919388534713</v>
      </c>
      <c r="DF75" s="21">
        <f t="shared" si="298"/>
        <v>0</v>
      </c>
      <c r="DG75" s="21">
        <f t="shared" si="299"/>
        <v>0</v>
      </c>
      <c r="DH75" s="21">
        <f t="shared" si="300"/>
        <v>0</v>
      </c>
      <c r="DI75" s="21">
        <f t="shared" si="301"/>
        <v>0</v>
      </c>
      <c r="DJ75" s="21">
        <f t="shared" si="302"/>
        <v>57712.766898190042</v>
      </c>
      <c r="DK75" s="21">
        <f t="shared" si="303"/>
        <v>63861.746141122938</v>
      </c>
      <c r="DL75" s="21">
        <f t="shared" si="304"/>
        <v>30450.785402802499</v>
      </c>
      <c r="DM75" s="21">
        <f t="shared" si="305"/>
        <v>14519.652024549265</v>
      </c>
      <c r="DN75" s="21">
        <f t="shared" si="306"/>
        <v>6923.3122274450125</v>
      </c>
      <c r="DO75" s="21">
        <f t="shared" si="307"/>
        <v>3301.1984114918537</v>
      </c>
      <c r="DP75" s="21">
        <f t="shared" si="308"/>
        <v>1574.0891922926833</v>
      </c>
      <c r="DQ75" s="21">
        <f t="shared" si="309"/>
        <v>1752.2568567634007</v>
      </c>
      <c r="DR75" s="21">
        <f t="shared" si="310"/>
        <v>0</v>
      </c>
      <c r="DS75" s="21">
        <f t="shared" si="311"/>
        <v>5259294.923817059</v>
      </c>
      <c r="DT75" s="21">
        <f t="shared" si="312"/>
        <v>5380534.1795722088</v>
      </c>
      <c r="DU75" s="21">
        <f t="shared" si="313"/>
        <v>4494545.648281836</v>
      </c>
      <c r="DV75" s="13">
        <f t="shared" si="314"/>
        <v>0</v>
      </c>
      <c r="DW75" s="13">
        <f t="shared" si="315"/>
        <v>0</v>
      </c>
      <c r="DX75" s="13">
        <f t="shared" si="316"/>
        <v>0</v>
      </c>
      <c r="DY75" s="13">
        <f t="shared" si="317"/>
        <v>0</v>
      </c>
      <c r="DZ75" s="13">
        <f t="shared" si="318"/>
        <v>191553.75220500052</v>
      </c>
      <c r="EA75" s="13">
        <f t="shared" si="319"/>
        <v>308180.31661777018</v>
      </c>
      <c r="EB75" s="13">
        <f t="shared" si="320"/>
        <v>205324.99026572297</v>
      </c>
      <c r="EC75" s="13">
        <f t="shared" si="321"/>
        <v>132823.70561738746</v>
      </c>
      <c r="ED75" s="13">
        <f t="shared" si="322"/>
        <v>76862.731017197133</v>
      </c>
      <c r="EE75" s="13">
        <f t="shared" si="323"/>
        <v>43921.162352056454</v>
      </c>
      <c r="EF75" s="13">
        <f t="shared" si="324"/>
        <v>23907.174214856721</v>
      </c>
      <c r="EG75" s="13">
        <f t="shared" si="325"/>
        <v>29610.464371964499</v>
      </c>
      <c r="EH75" s="13">
        <f t="shared" si="326"/>
        <v>0</v>
      </c>
      <c r="EI75" s="13">
        <f t="shared" si="327"/>
        <v>52592.949238170593</v>
      </c>
      <c r="EJ75" s="13">
        <f t="shared" si="328"/>
        <v>107610.68359144418</v>
      </c>
      <c r="EK75" s="13">
        <f t="shared" si="329"/>
        <v>134836.36944845508</v>
      </c>
      <c r="EL75" s="21">
        <f t="shared" si="368"/>
        <v>1012184.2966619559</v>
      </c>
      <c r="EM75" s="21">
        <f t="shared" si="369"/>
        <v>295040.00227806985</v>
      </c>
      <c r="EN75" s="21">
        <f t="shared" si="330"/>
        <v>15182764449.929338</v>
      </c>
      <c r="EO75" s="21">
        <f t="shared" si="331"/>
        <v>6638400051.2565718</v>
      </c>
      <c r="EP75" s="21">
        <f t="shared" si="332"/>
        <v>12930228020.06608</v>
      </c>
      <c r="EQ75" s="21">
        <f t="shared" si="333"/>
        <v>4539324106.8397427</v>
      </c>
      <c r="ER75" s="21">
        <f t="shared" si="334"/>
        <v>353301961.60049075</v>
      </c>
      <c r="ES75" s="21">
        <f t="shared" si="335"/>
        <v>124031231.99359332</v>
      </c>
    </row>
    <row r="76" spans="1:149" x14ac:dyDescent="0.25">
      <c r="O76" s="3">
        <v>74</v>
      </c>
      <c r="P76" s="21">
        <f t="shared" si="380"/>
        <v>450507.28597265156</v>
      </c>
      <c r="Q76" s="21">
        <f t="shared" si="381"/>
        <v>419815.18888336571</v>
      </c>
      <c r="R76" s="13">
        <f t="shared" si="393"/>
        <v>692036.07592765766</v>
      </c>
      <c r="S76" s="13">
        <f t="shared" si="336"/>
        <v>512672.93441662157</v>
      </c>
      <c r="T76" s="13">
        <f t="shared" si="337"/>
        <v>399270.08278354292</v>
      </c>
      <c r="U76" s="13">
        <f t="shared" si="338"/>
        <v>326894.69555929059</v>
      </c>
      <c r="V76" s="13">
        <f t="shared" si="339"/>
        <v>267638.74027292395</v>
      </c>
      <c r="W76" s="13">
        <f t="shared" si="340"/>
        <v>167223.91379708154</v>
      </c>
      <c r="X76" s="13">
        <f t="shared" si="341"/>
        <v>79736.302574508518</v>
      </c>
      <c r="Y76" s="13">
        <f t="shared" si="342"/>
        <v>38020.147979414352</v>
      </c>
      <c r="Z76" s="13">
        <f t="shared" si="343"/>
        <v>18128.90246608089</v>
      </c>
      <c r="AA76" s="13">
        <f t="shared" si="344"/>
        <v>8644.2878866080919</v>
      </c>
      <c r="AB76" s="13">
        <f t="shared" si="345"/>
        <v>4121.8001589796932</v>
      </c>
      <c r="AC76" s="13">
        <f t="shared" si="346"/>
        <v>4588.3375770581551</v>
      </c>
      <c r="AD76" s="13">
        <f t="shared" si="347"/>
        <v>47617256.786081061</v>
      </c>
      <c r="AE76" s="13">
        <f t="shared" si="348"/>
        <v>32978657.533196554</v>
      </c>
      <c r="AF76" s="13">
        <f t="shared" si="349"/>
        <v>18515688.396306574</v>
      </c>
      <c r="AG76" s="13">
        <f t="shared" si="350"/>
        <v>15466792.68818577</v>
      </c>
      <c r="AH76" s="21">
        <f t="shared" si="250"/>
        <v>0</v>
      </c>
      <c r="AI76" s="21">
        <f t="shared" si="251"/>
        <v>1538.0188032498647</v>
      </c>
      <c r="AJ76" s="21">
        <f t="shared" si="252"/>
        <v>19753.361990343707</v>
      </c>
      <c r="AK76" s="21">
        <f t="shared" si="253"/>
        <v>89397.096743477552</v>
      </c>
      <c r="AL76" s="21">
        <f t="shared" si="254"/>
        <v>154751.53687570227</v>
      </c>
      <c r="AM76" s="21">
        <f t="shared" si="255"/>
        <v>135486.57521011963</v>
      </c>
      <c r="AN76" s="21">
        <f t="shared" si="256"/>
        <v>74691.932274794875</v>
      </c>
      <c r="AO76" s="21">
        <f t="shared" si="257"/>
        <v>37429.835155523448</v>
      </c>
      <c r="AP76" s="21">
        <f t="shared" si="258"/>
        <v>18030.624731659504</v>
      </c>
      <c r="AQ76" s="21">
        <f t="shared" si="259"/>
        <v>8618.355022948268</v>
      </c>
      <c r="AR76" s="21">
        <f t="shared" si="260"/>
        <v>4121.8001589796932</v>
      </c>
      <c r="AS76" s="21">
        <f t="shared" si="261"/>
        <v>4588.3375770581551</v>
      </c>
      <c r="AT76" s="21">
        <f t="shared" si="262"/>
        <v>0</v>
      </c>
      <c r="AU76" s="21">
        <f t="shared" si="263"/>
        <v>16489328.766598277</v>
      </c>
      <c r="AV76" s="21">
        <f t="shared" si="264"/>
        <v>18515688.396306574</v>
      </c>
      <c r="AW76" s="21">
        <f t="shared" si="265"/>
        <v>15466792.68818577</v>
      </c>
      <c r="AX76" s="13">
        <f t="shared" si="351"/>
        <v>0.2</v>
      </c>
      <c r="AY76" s="13">
        <f t="shared" si="382"/>
        <v>0.6</v>
      </c>
      <c r="AZ76" s="13">
        <f t="shared" si="383"/>
        <v>1.2658</v>
      </c>
      <c r="BA76" s="13">
        <f t="shared" si="384"/>
        <v>2.1566490283450905</v>
      </c>
      <c r="BB76" s="13">
        <f t="shared" si="385"/>
        <v>3.3190880025376766</v>
      </c>
      <c r="BC76" s="13">
        <f t="shared" si="386"/>
        <v>4.8257420950694589</v>
      </c>
      <c r="BD76" s="13">
        <f t="shared" si="387"/>
        <v>6.7428471072179308</v>
      </c>
      <c r="BE76" s="13">
        <f t="shared" si="388"/>
        <v>9.1478573586252914</v>
      </c>
      <c r="BF76" s="13">
        <f t="shared" si="389"/>
        <v>11.102017140372762</v>
      </c>
      <c r="BG76" s="13">
        <f t="shared" si="390"/>
        <v>13.304611500841382</v>
      </c>
      <c r="BH76" s="13">
        <f t="shared" si="391"/>
        <v>15.18794127546419</v>
      </c>
      <c r="BI76" s="13">
        <f t="shared" si="392"/>
        <v>16.898472537127923</v>
      </c>
      <c r="BJ76" s="13">
        <f t="shared" si="266"/>
        <v>4.0000000000000001E-3</v>
      </c>
      <c r="BK76" s="13">
        <f t="shared" si="267"/>
        <v>0.01</v>
      </c>
      <c r="BL76" s="13">
        <f t="shared" si="268"/>
        <v>0.02</v>
      </c>
      <c r="BM76" s="13">
        <f t="shared" si="269"/>
        <v>0.03</v>
      </c>
      <c r="BN76" s="30">
        <f t="shared" si="352"/>
        <v>4693566.6070114076</v>
      </c>
      <c r="BO76" s="30">
        <f t="shared" si="353"/>
        <v>1354573.1510479944</v>
      </c>
      <c r="BP76" s="30">
        <f t="shared" si="354"/>
        <v>2687198.8153558397</v>
      </c>
      <c r="BQ76" s="30">
        <f t="shared" si="355"/>
        <v>999210.83623768738</v>
      </c>
      <c r="BR76" s="36">
        <f t="shared" si="270"/>
        <v>0.3</v>
      </c>
      <c r="BS76" s="36">
        <f t="shared" si="271"/>
        <v>0.25</v>
      </c>
      <c r="BT76" s="36">
        <f t="shared" si="272"/>
        <v>0.2</v>
      </c>
      <c r="BU76" s="36">
        <f t="shared" si="273"/>
        <v>0.2</v>
      </c>
      <c r="BV76" s="36">
        <f t="shared" si="274"/>
        <v>0.2</v>
      </c>
      <c r="BW76" s="36">
        <f t="shared" si="275"/>
        <v>0.2</v>
      </c>
      <c r="BX76" s="36">
        <f t="shared" si="276"/>
        <v>0.2</v>
      </c>
      <c r="BY76" s="36">
        <f t="shared" si="277"/>
        <v>0.2</v>
      </c>
      <c r="BZ76" s="36">
        <f t="shared" si="278"/>
        <v>0.2</v>
      </c>
      <c r="CA76" s="36">
        <f t="shared" si="279"/>
        <v>0.2</v>
      </c>
      <c r="CB76" s="36">
        <f t="shared" si="280"/>
        <v>0.2</v>
      </c>
      <c r="CC76" s="36">
        <f t="shared" si="281"/>
        <v>0.2</v>
      </c>
      <c r="CD76" s="35">
        <f t="shared" si="282"/>
        <v>0.36733462223721769</v>
      </c>
      <c r="CE76" s="35">
        <f t="shared" si="283"/>
        <v>0.36733462223721769</v>
      </c>
      <c r="CF76" s="35">
        <f t="shared" si="284"/>
        <v>0.36733462223721769</v>
      </c>
      <c r="CG76" s="35">
        <f t="shared" si="285"/>
        <v>0.36733462223721769</v>
      </c>
      <c r="CH76" s="28">
        <f t="shared" si="286"/>
        <v>0</v>
      </c>
      <c r="CI76" s="28">
        <f t="shared" si="287"/>
        <v>0</v>
      </c>
      <c r="CJ76" s="28">
        <f t="shared" si="288"/>
        <v>15770.614051838518</v>
      </c>
      <c r="CK76" s="28">
        <f t="shared" si="289"/>
        <v>23888.724528083592</v>
      </c>
      <c r="CL76" s="28">
        <f t="shared" si="290"/>
        <v>32524.842135507442</v>
      </c>
      <c r="CM76" s="28">
        <f t="shared" si="291"/>
        <v>31774.254134490737</v>
      </c>
      <c r="CN76" s="28">
        <f t="shared" si="292"/>
        <v>22669.837945165338</v>
      </c>
      <c r="CO76" s="28">
        <f t="shared" si="293"/>
        <v>15649.069200336573</v>
      </c>
      <c r="CP76" s="28">
        <f t="shared" si="294"/>
        <v>9597.6668245666442</v>
      </c>
      <c r="CQ76" s="28">
        <f t="shared" si="295"/>
        <v>5787.4686638630483</v>
      </c>
      <c r="CR76" s="28">
        <f t="shared" si="296"/>
        <v>3303.696568577775</v>
      </c>
      <c r="CS76" s="28">
        <f t="shared" si="297"/>
        <v>4270.9585681493818</v>
      </c>
      <c r="CT76" s="44">
        <f t="shared" si="356"/>
        <v>0</v>
      </c>
      <c r="CU76" s="44">
        <f t="shared" si="357"/>
        <v>0</v>
      </c>
      <c r="CV76" s="44">
        <f t="shared" si="358"/>
        <v>3.949861192176593E-2</v>
      </c>
      <c r="CW76" s="44">
        <f t="shared" si="359"/>
        <v>7.3077736814333744E-2</v>
      </c>
      <c r="CX76" s="44">
        <f t="shared" si="360"/>
        <v>0.12152516523706663</v>
      </c>
      <c r="CY76" s="44">
        <f t="shared" si="361"/>
        <v>0.19001022887819335</v>
      </c>
      <c r="CZ76" s="44">
        <f t="shared" si="362"/>
        <v>0.28431012240606229</v>
      </c>
      <c r="DA76" s="44">
        <f t="shared" si="363"/>
        <v>0.41159937643613626</v>
      </c>
      <c r="DB76" s="44">
        <f t="shared" si="364"/>
        <v>0.52941245850507734</v>
      </c>
      <c r="DC76" s="44">
        <f t="shared" si="365"/>
        <v>0.66951364181532103</v>
      </c>
      <c r="DD76" s="44">
        <f t="shared" si="366"/>
        <v>0.80151789052178823</v>
      </c>
      <c r="DE76" s="44">
        <f t="shared" si="367"/>
        <v>0.93082919389024921</v>
      </c>
      <c r="DF76" s="21">
        <f t="shared" si="298"/>
        <v>0</v>
      </c>
      <c r="DG76" s="21">
        <f t="shared" si="299"/>
        <v>0</v>
      </c>
      <c r="DH76" s="21">
        <f t="shared" si="300"/>
        <v>0</v>
      </c>
      <c r="DI76" s="21">
        <f t="shared" si="301"/>
        <v>0</v>
      </c>
      <c r="DJ76" s="21">
        <f t="shared" si="302"/>
        <v>57712.766898049944</v>
      </c>
      <c r="DK76" s="21">
        <f t="shared" si="303"/>
        <v>63861.746140907868</v>
      </c>
      <c r="DL76" s="21">
        <f t="shared" si="304"/>
        <v>30450.785402660218</v>
      </c>
      <c r="DM76" s="21">
        <f t="shared" si="305"/>
        <v>14519.652024455163</v>
      </c>
      <c r="DN76" s="21">
        <f t="shared" si="306"/>
        <v>6923.3122273827667</v>
      </c>
      <c r="DO76" s="21">
        <f t="shared" si="307"/>
        <v>3301.1984114506799</v>
      </c>
      <c r="DP76" s="21">
        <f t="shared" si="308"/>
        <v>1574.0891922654471</v>
      </c>
      <c r="DQ76" s="21">
        <f t="shared" si="309"/>
        <v>1752.2568566983873</v>
      </c>
      <c r="DR76" s="21">
        <f t="shared" si="310"/>
        <v>0</v>
      </c>
      <c r="DS76" s="21">
        <f t="shared" si="311"/>
        <v>5259294.9238283364</v>
      </c>
      <c r="DT76" s="21">
        <f t="shared" si="312"/>
        <v>5380534.1795936106</v>
      </c>
      <c r="DU76" s="21">
        <f t="shared" si="313"/>
        <v>4494545.6483309763</v>
      </c>
      <c r="DV76" s="13">
        <f t="shared" si="314"/>
        <v>0</v>
      </c>
      <c r="DW76" s="13">
        <f t="shared" si="315"/>
        <v>0</v>
      </c>
      <c r="DX76" s="13">
        <f t="shared" si="316"/>
        <v>0</v>
      </c>
      <c r="DY76" s="13">
        <f t="shared" si="317"/>
        <v>0</v>
      </c>
      <c r="DZ76" s="13">
        <f t="shared" si="318"/>
        <v>191553.75220457112</v>
      </c>
      <c r="EA76" s="13">
        <f t="shared" si="319"/>
        <v>308180.31661681866</v>
      </c>
      <c r="EB76" s="13">
        <f t="shared" si="320"/>
        <v>205324.99026484144</v>
      </c>
      <c r="EC76" s="13">
        <f t="shared" si="321"/>
        <v>132823.70561659077</v>
      </c>
      <c r="ED76" s="13">
        <f t="shared" si="322"/>
        <v>76862.731016555801</v>
      </c>
      <c r="EE76" s="13">
        <f t="shared" si="323"/>
        <v>43921.162351546016</v>
      </c>
      <c r="EF76" s="13">
        <f t="shared" si="324"/>
        <v>23907.174214470473</v>
      </c>
      <c r="EG76" s="13">
        <f t="shared" si="325"/>
        <v>29610.464370911795</v>
      </c>
      <c r="EH76" s="13">
        <f t="shared" si="326"/>
        <v>0</v>
      </c>
      <c r="EI76" s="13">
        <f t="shared" si="327"/>
        <v>52592.949238283363</v>
      </c>
      <c r="EJ76" s="13">
        <f t="shared" si="328"/>
        <v>107610.68359187222</v>
      </c>
      <c r="EK76" s="13">
        <f t="shared" si="329"/>
        <v>134836.36944992928</v>
      </c>
      <c r="EL76" s="21">
        <f t="shared" si="368"/>
        <v>1012184.2966563061</v>
      </c>
      <c r="EM76" s="21">
        <f t="shared" si="369"/>
        <v>295040.00228008488</v>
      </c>
      <c r="EN76" s="21">
        <f t="shared" si="330"/>
        <v>15182764449.844591</v>
      </c>
      <c r="EO76" s="21">
        <f t="shared" si="331"/>
        <v>6638400051.3019094</v>
      </c>
      <c r="EP76" s="21">
        <f t="shared" si="332"/>
        <v>12930228019.981333</v>
      </c>
      <c r="EQ76" s="21">
        <f t="shared" si="333"/>
        <v>4539324106.8850803</v>
      </c>
      <c r="ER76" s="21">
        <f t="shared" si="334"/>
        <v>336071221.60600543</v>
      </c>
      <c r="ES76" s="21">
        <f t="shared" si="335"/>
        <v>117982157.43055867</v>
      </c>
    </row>
    <row r="77" spans="1:149" x14ac:dyDescent="0.25">
      <c r="O77" s="3">
        <v>75</v>
      </c>
      <c r="P77" s="21">
        <f t="shared" si="380"/>
        <v>450507.28597265156</v>
      </c>
      <c r="Q77" s="21">
        <f t="shared" si="381"/>
        <v>419815.18888336571</v>
      </c>
      <c r="R77" s="13">
        <f t="shared" si="393"/>
        <v>692036.07592733076</v>
      </c>
      <c r="S77" s="13">
        <f t="shared" si="336"/>
        <v>512672.93441628554</v>
      </c>
      <c r="T77" s="13">
        <f t="shared" si="337"/>
        <v>399270.08278317988</v>
      </c>
      <c r="U77" s="13">
        <f t="shared" si="338"/>
        <v>326894.69555887824</v>
      </c>
      <c r="V77" s="13">
        <f t="shared" si="339"/>
        <v>267638.74027245556</v>
      </c>
      <c r="W77" s="13">
        <f t="shared" si="340"/>
        <v>167223.91379667557</v>
      </c>
      <c r="X77" s="13">
        <f t="shared" si="341"/>
        <v>79736.302574239991</v>
      </c>
      <c r="Y77" s="13">
        <f t="shared" si="342"/>
        <v>38020.147979236703</v>
      </c>
      <c r="Z77" s="13">
        <f t="shared" si="343"/>
        <v>18128.902465963398</v>
      </c>
      <c r="AA77" s="13">
        <f t="shared" si="344"/>
        <v>8644.2878865303737</v>
      </c>
      <c r="AB77" s="13">
        <f t="shared" si="345"/>
        <v>4121.800158928284</v>
      </c>
      <c r="AC77" s="13">
        <f t="shared" si="346"/>
        <v>4588.3375769354461</v>
      </c>
      <c r="AD77" s="13">
        <f t="shared" si="347"/>
        <v>47617256.786095895</v>
      </c>
      <c r="AE77" s="13">
        <f t="shared" si="348"/>
        <v>32978657.533238497</v>
      </c>
      <c r="AF77" s="13">
        <f t="shared" si="349"/>
        <v>18515688.396354783</v>
      </c>
      <c r="AG77" s="13">
        <f t="shared" si="350"/>
        <v>15466792.688303594</v>
      </c>
      <c r="AH77" s="21">
        <f t="shared" si="250"/>
        <v>0</v>
      </c>
      <c r="AI77" s="21">
        <f t="shared" si="251"/>
        <v>1538.0188032488566</v>
      </c>
      <c r="AJ77" s="21">
        <f t="shared" si="252"/>
        <v>19753.361990325746</v>
      </c>
      <c r="AK77" s="21">
        <f t="shared" si="253"/>
        <v>89397.096743364789</v>
      </c>
      <c r="AL77" s="21">
        <f t="shared" si="254"/>
        <v>154751.53687543145</v>
      </c>
      <c r="AM77" s="21">
        <f t="shared" si="255"/>
        <v>135486.5752097907</v>
      </c>
      <c r="AN77" s="21">
        <f t="shared" si="256"/>
        <v>74691.932274543346</v>
      </c>
      <c r="AO77" s="21">
        <f t="shared" si="257"/>
        <v>37429.835155348555</v>
      </c>
      <c r="AP77" s="21">
        <f t="shared" si="258"/>
        <v>18030.624731542648</v>
      </c>
      <c r="AQ77" s="21">
        <f t="shared" si="259"/>
        <v>8618.3550228707827</v>
      </c>
      <c r="AR77" s="21">
        <f t="shared" si="260"/>
        <v>4121.800158928284</v>
      </c>
      <c r="AS77" s="21">
        <f t="shared" si="261"/>
        <v>4588.3375769354461</v>
      </c>
      <c r="AT77" s="21">
        <f t="shared" si="262"/>
        <v>0</v>
      </c>
      <c r="AU77" s="21">
        <f t="shared" si="263"/>
        <v>16489328.766619248</v>
      </c>
      <c r="AV77" s="21">
        <f t="shared" si="264"/>
        <v>18515688.396354783</v>
      </c>
      <c r="AW77" s="21">
        <f t="shared" si="265"/>
        <v>15466792.688303594</v>
      </c>
      <c r="AX77" s="13">
        <f t="shared" si="351"/>
        <v>0.2</v>
      </c>
      <c r="AY77" s="13">
        <f t="shared" si="382"/>
        <v>0.6</v>
      </c>
      <c r="AZ77" s="13">
        <f t="shared" si="383"/>
        <v>1.2658</v>
      </c>
      <c r="BA77" s="13">
        <f t="shared" si="384"/>
        <v>2.1566490283452362</v>
      </c>
      <c r="BB77" s="13">
        <f t="shared" si="385"/>
        <v>3.3190880025381206</v>
      </c>
      <c r="BC77" s="13">
        <f t="shared" si="386"/>
        <v>4.8257420950704342</v>
      </c>
      <c r="BD77" s="13">
        <f t="shared" si="387"/>
        <v>6.7428471072197738</v>
      </c>
      <c r="BE77" s="13">
        <f t="shared" si="388"/>
        <v>9.1478573586284764</v>
      </c>
      <c r="BF77" s="13">
        <f t="shared" si="389"/>
        <v>11.102017140377939</v>
      </c>
      <c r="BG77" s="13">
        <f t="shared" si="390"/>
        <v>13.304611500849539</v>
      </c>
      <c r="BH77" s="13">
        <f t="shared" si="391"/>
        <v>15.187941275476744</v>
      </c>
      <c r="BI77" s="13">
        <f t="shared" si="392"/>
        <v>16.898472537146816</v>
      </c>
      <c r="BJ77" s="13">
        <f t="shared" si="266"/>
        <v>4.0000000000000001E-3</v>
      </c>
      <c r="BK77" s="13">
        <f t="shared" si="267"/>
        <v>0.01</v>
      </c>
      <c r="BL77" s="13">
        <f t="shared" si="268"/>
        <v>0.02</v>
      </c>
      <c r="BM77" s="13">
        <f t="shared" si="269"/>
        <v>0.03</v>
      </c>
      <c r="BN77" s="30">
        <f t="shared" si="352"/>
        <v>4693566.6069985498</v>
      </c>
      <c r="BO77" s="30">
        <f t="shared" si="353"/>
        <v>1354573.1510529718</v>
      </c>
      <c r="BP77" s="30">
        <f t="shared" si="354"/>
        <v>2687198.8153453814</v>
      </c>
      <c r="BQ77" s="30">
        <f t="shared" si="355"/>
        <v>999210.83624239592</v>
      </c>
      <c r="BR77" s="36">
        <f t="shared" si="270"/>
        <v>0.3</v>
      </c>
      <c r="BS77" s="36">
        <f t="shared" si="271"/>
        <v>0.25</v>
      </c>
      <c r="BT77" s="36">
        <f t="shared" si="272"/>
        <v>0.2</v>
      </c>
      <c r="BU77" s="36">
        <f t="shared" si="273"/>
        <v>0.2</v>
      </c>
      <c r="BV77" s="36">
        <f t="shared" si="274"/>
        <v>0.2</v>
      </c>
      <c r="BW77" s="36">
        <f t="shared" si="275"/>
        <v>0.2</v>
      </c>
      <c r="BX77" s="36">
        <f t="shared" si="276"/>
        <v>0.2</v>
      </c>
      <c r="BY77" s="36">
        <f t="shared" si="277"/>
        <v>0.2</v>
      </c>
      <c r="BZ77" s="36">
        <f t="shared" si="278"/>
        <v>0.2</v>
      </c>
      <c r="CA77" s="36">
        <f t="shared" si="279"/>
        <v>0.2</v>
      </c>
      <c r="CB77" s="36">
        <f t="shared" si="280"/>
        <v>0.2</v>
      </c>
      <c r="CC77" s="36">
        <f t="shared" si="281"/>
        <v>0.2</v>
      </c>
      <c r="CD77" s="35">
        <f t="shared" si="282"/>
        <v>0.3673346222366124</v>
      </c>
      <c r="CE77" s="35">
        <f t="shared" si="283"/>
        <v>0.3673346222366124</v>
      </c>
      <c r="CF77" s="35">
        <f t="shared" si="284"/>
        <v>0.3673346222366124</v>
      </c>
      <c r="CG77" s="35">
        <f t="shared" si="285"/>
        <v>0.3673346222366124</v>
      </c>
      <c r="CH77" s="28">
        <f t="shared" si="286"/>
        <v>0</v>
      </c>
      <c r="CI77" s="28">
        <f t="shared" si="287"/>
        <v>0</v>
      </c>
      <c r="CJ77" s="28">
        <f t="shared" si="288"/>
        <v>15770.614051884042</v>
      </c>
      <c r="CK77" s="28">
        <f t="shared" si="289"/>
        <v>23888.724528144136</v>
      </c>
      <c r="CL77" s="28">
        <f t="shared" si="290"/>
        <v>32524.842135573985</v>
      </c>
      <c r="CM77" s="28">
        <f t="shared" si="291"/>
        <v>31774.254134534207</v>
      </c>
      <c r="CN77" s="28">
        <f t="shared" si="292"/>
        <v>22669.837945175044</v>
      </c>
      <c r="CO77" s="28">
        <f t="shared" si="293"/>
        <v>15649.069200322854</v>
      </c>
      <c r="CP77" s="28">
        <f t="shared" si="294"/>
        <v>9597.6668245408746</v>
      </c>
      <c r="CQ77" s="28">
        <f t="shared" si="295"/>
        <v>5787.4686638329831</v>
      </c>
      <c r="CR77" s="28">
        <f t="shared" si="296"/>
        <v>3303.69656854911</v>
      </c>
      <c r="CS77" s="28">
        <f t="shared" si="297"/>
        <v>4270.9585680513737</v>
      </c>
      <c r="CT77" s="44">
        <f t="shared" si="356"/>
        <v>0</v>
      </c>
      <c r="CU77" s="44">
        <f t="shared" si="357"/>
        <v>0</v>
      </c>
      <c r="CV77" s="44">
        <f t="shared" si="358"/>
        <v>3.9498611921915859E-2</v>
      </c>
      <c r="CW77" s="44">
        <f t="shared" si="359"/>
        <v>7.3077736814611133E-2</v>
      </c>
      <c r="CX77" s="44">
        <f t="shared" si="360"/>
        <v>0.12152516523752793</v>
      </c>
      <c r="CY77" s="44">
        <f t="shared" si="361"/>
        <v>0.19001022887891458</v>
      </c>
      <c r="CZ77" s="44">
        <f t="shared" si="362"/>
        <v>0.28431012240714149</v>
      </c>
      <c r="DA77" s="44">
        <f t="shared" si="363"/>
        <v>0.41159937643769862</v>
      </c>
      <c r="DB77" s="44">
        <f t="shared" si="364"/>
        <v>0.52941245850708696</v>
      </c>
      <c r="DC77" s="44">
        <f t="shared" si="365"/>
        <v>0.66951364181786233</v>
      </c>
      <c r="DD77" s="44">
        <f t="shared" si="366"/>
        <v>0.80151789052483069</v>
      </c>
      <c r="DE77" s="44">
        <f t="shared" si="367"/>
        <v>0.93082919389378271</v>
      </c>
      <c r="DF77" s="21">
        <f t="shared" si="298"/>
        <v>0</v>
      </c>
      <c r="DG77" s="21">
        <f t="shared" si="299"/>
        <v>0</v>
      </c>
      <c r="DH77" s="21">
        <f t="shared" si="300"/>
        <v>0</v>
      </c>
      <c r="DI77" s="21">
        <f t="shared" si="301"/>
        <v>0</v>
      </c>
      <c r="DJ77" s="21">
        <f t="shared" si="302"/>
        <v>57712.766897948939</v>
      </c>
      <c r="DK77" s="21">
        <f t="shared" si="303"/>
        <v>63861.746140752832</v>
      </c>
      <c r="DL77" s="21">
        <f t="shared" si="304"/>
        <v>30450.785402557674</v>
      </c>
      <c r="DM77" s="21">
        <f t="shared" si="305"/>
        <v>14519.65202438732</v>
      </c>
      <c r="DN77" s="21">
        <f t="shared" si="306"/>
        <v>6923.3122273378976</v>
      </c>
      <c r="DO77" s="21">
        <f t="shared" si="307"/>
        <v>3301.1984114209995</v>
      </c>
      <c r="DP77" s="21">
        <f t="shared" si="308"/>
        <v>1574.0891922458143</v>
      </c>
      <c r="DQ77" s="21">
        <f t="shared" si="309"/>
        <v>1752.2568566515256</v>
      </c>
      <c r="DR77" s="21">
        <f t="shared" si="310"/>
        <v>0</v>
      </c>
      <c r="DS77" s="21">
        <f t="shared" si="311"/>
        <v>5259294.9238364641</v>
      </c>
      <c r="DT77" s="21">
        <f t="shared" si="312"/>
        <v>5380534.1796090361</v>
      </c>
      <c r="DU77" s="21">
        <f t="shared" si="313"/>
        <v>4494545.6483663991</v>
      </c>
      <c r="DV77" s="13">
        <f t="shared" si="314"/>
        <v>0</v>
      </c>
      <c r="DW77" s="13">
        <f t="shared" si="315"/>
        <v>0</v>
      </c>
      <c r="DX77" s="13">
        <f t="shared" si="316"/>
        <v>0</v>
      </c>
      <c r="DY77" s="13">
        <f t="shared" si="317"/>
        <v>0</v>
      </c>
      <c r="DZ77" s="13">
        <f t="shared" si="318"/>
        <v>191553.75220426152</v>
      </c>
      <c r="EA77" s="13">
        <f t="shared" si="319"/>
        <v>308180.3166161328</v>
      </c>
      <c r="EB77" s="13">
        <f t="shared" si="320"/>
        <v>205324.99026420614</v>
      </c>
      <c r="EC77" s="13">
        <f t="shared" si="321"/>
        <v>132823.70561601641</v>
      </c>
      <c r="ED77" s="13">
        <f t="shared" si="322"/>
        <v>76862.731016093501</v>
      </c>
      <c r="EE77" s="13">
        <f t="shared" si="323"/>
        <v>43921.162351178056</v>
      </c>
      <c r="EF77" s="13">
        <f t="shared" si="324"/>
        <v>23907.174214192051</v>
      </c>
      <c r="EG77" s="13">
        <f t="shared" si="325"/>
        <v>29610.464370153011</v>
      </c>
      <c r="EH77" s="13">
        <f t="shared" si="326"/>
        <v>0</v>
      </c>
      <c r="EI77" s="13">
        <f t="shared" si="327"/>
        <v>52592.949238364643</v>
      </c>
      <c r="EJ77" s="13">
        <f t="shared" si="328"/>
        <v>107610.68359218072</v>
      </c>
      <c r="EK77" s="13">
        <f t="shared" si="329"/>
        <v>134836.36945099197</v>
      </c>
      <c r="EL77" s="21">
        <f t="shared" si="368"/>
        <v>1012184.2966522336</v>
      </c>
      <c r="EM77" s="21">
        <f t="shared" si="369"/>
        <v>295040.00228153734</v>
      </c>
      <c r="EN77" s="21">
        <f t="shared" si="330"/>
        <v>15182764449.783504</v>
      </c>
      <c r="EO77" s="21">
        <f t="shared" si="331"/>
        <v>6638400051.33459</v>
      </c>
      <c r="EP77" s="21">
        <f t="shared" si="332"/>
        <v>12930228019.920246</v>
      </c>
      <c r="EQ77" s="21">
        <f t="shared" si="333"/>
        <v>4539324106.9177608</v>
      </c>
      <c r="ER77" s="21">
        <f t="shared" si="334"/>
        <v>319680834.71802229</v>
      </c>
      <c r="ES77" s="21">
        <f t="shared" si="335"/>
        <v>112228099.71483096</v>
      </c>
    </row>
    <row r="78" spans="1:149" x14ac:dyDescent="0.25">
      <c r="O78" s="3">
        <v>76</v>
      </c>
      <c r="P78" s="21">
        <f t="shared" si="380"/>
        <v>450507.28597265156</v>
      </c>
      <c r="Q78" s="21">
        <f t="shared" si="381"/>
        <v>419815.18888336571</v>
      </c>
      <c r="R78" s="13">
        <f t="shared" si="393"/>
        <v>692036.07592709514</v>
      </c>
      <c r="S78" s="13">
        <f t="shared" si="336"/>
        <v>512672.9344160434</v>
      </c>
      <c r="T78" s="13">
        <f t="shared" si="337"/>
        <v>399270.08278291818</v>
      </c>
      <c r="U78" s="13">
        <f t="shared" si="338"/>
        <v>326894.69555858104</v>
      </c>
      <c r="V78" s="13">
        <f t="shared" si="339"/>
        <v>267638.74027211801</v>
      </c>
      <c r="W78" s="13">
        <f t="shared" si="340"/>
        <v>167223.91379638293</v>
      </c>
      <c r="X78" s="13">
        <f t="shared" si="341"/>
        <v>79736.302574046422</v>
      </c>
      <c r="Y78" s="13">
        <f t="shared" si="342"/>
        <v>38020.147979108668</v>
      </c>
      <c r="Z78" s="13">
        <f t="shared" si="343"/>
        <v>18128.902465878691</v>
      </c>
      <c r="AA78" s="13">
        <f t="shared" si="344"/>
        <v>8644.2878864743507</v>
      </c>
      <c r="AB78" s="13">
        <f t="shared" si="345"/>
        <v>4121.8001588912266</v>
      </c>
      <c r="AC78" s="13">
        <f t="shared" si="346"/>
        <v>4588.337576846995</v>
      </c>
      <c r="AD78" s="13">
        <f t="shared" si="347"/>
        <v>47617256.786106586</v>
      </c>
      <c r="AE78" s="13">
        <f t="shared" si="348"/>
        <v>32978657.533268735</v>
      </c>
      <c r="AF78" s="13">
        <f t="shared" si="349"/>
        <v>18515688.39638954</v>
      </c>
      <c r="AG78" s="13">
        <f t="shared" si="350"/>
        <v>15466792.688388525</v>
      </c>
      <c r="AH78" s="21">
        <f t="shared" si="250"/>
        <v>0</v>
      </c>
      <c r="AI78" s="21">
        <f t="shared" si="251"/>
        <v>1538.0188032481303</v>
      </c>
      <c r="AJ78" s="21">
        <f t="shared" si="252"/>
        <v>19753.361990312798</v>
      </c>
      <c r="AK78" s="21">
        <f t="shared" si="253"/>
        <v>89397.096743283517</v>
      </c>
      <c r="AL78" s="21">
        <f t="shared" si="254"/>
        <v>154751.53687523628</v>
      </c>
      <c r="AM78" s="21">
        <f t="shared" si="255"/>
        <v>135486.57520955362</v>
      </c>
      <c r="AN78" s="21">
        <f t="shared" si="256"/>
        <v>74691.932274362014</v>
      </c>
      <c r="AO78" s="21">
        <f t="shared" si="257"/>
        <v>37429.835155222507</v>
      </c>
      <c r="AP78" s="21">
        <f t="shared" si="258"/>
        <v>18030.6247314584</v>
      </c>
      <c r="AQ78" s="21">
        <f t="shared" si="259"/>
        <v>8618.3550228149288</v>
      </c>
      <c r="AR78" s="21">
        <f t="shared" si="260"/>
        <v>4121.8001588912266</v>
      </c>
      <c r="AS78" s="21">
        <f t="shared" si="261"/>
        <v>4588.337576846995</v>
      </c>
      <c r="AT78" s="21">
        <f t="shared" si="262"/>
        <v>0</v>
      </c>
      <c r="AU78" s="21">
        <f t="shared" si="263"/>
        <v>16489328.766634367</v>
      </c>
      <c r="AV78" s="21">
        <f t="shared" si="264"/>
        <v>18515688.39638954</v>
      </c>
      <c r="AW78" s="21">
        <f t="shared" si="265"/>
        <v>15466792.688388525</v>
      </c>
      <c r="AX78" s="13">
        <f t="shared" si="351"/>
        <v>0.2</v>
      </c>
      <c r="AY78" s="13">
        <f t="shared" si="382"/>
        <v>0.6</v>
      </c>
      <c r="AZ78" s="13">
        <f t="shared" si="383"/>
        <v>1.2658</v>
      </c>
      <c r="BA78" s="13">
        <f t="shared" si="384"/>
        <v>2.156649028345341</v>
      </c>
      <c r="BB78" s="13">
        <f t="shared" si="385"/>
        <v>3.3190880025384413</v>
      </c>
      <c r="BC78" s="13">
        <f t="shared" si="386"/>
        <v>4.8257420950711367</v>
      </c>
      <c r="BD78" s="13">
        <f t="shared" si="387"/>
        <v>6.7428471072211025</v>
      </c>
      <c r="BE78" s="13">
        <f t="shared" si="388"/>
        <v>9.1478573586307714</v>
      </c>
      <c r="BF78" s="13">
        <f t="shared" si="389"/>
        <v>11.102017140381671</v>
      </c>
      <c r="BG78" s="13">
        <f t="shared" si="390"/>
        <v>13.304611500855419</v>
      </c>
      <c r="BH78" s="13">
        <f t="shared" si="391"/>
        <v>15.187941275485789</v>
      </c>
      <c r="BI78" s="13">
        <f t="shared" si="392"/>
        <v>16.898472537160437</v>
      </c>
      <c r="BJ78" s="13">
        <f t="shared" si="266"/>
        <v>4.0000000000000001E-3</v>
      </c>
      <c r="BK78" s="13">
        <f t="shared" si="267"/>
        <v>0.01</v>
      </c>
      <c r="BL78" s="13">
        <f t="shared" si="268"/>
        <v>0.02</v>
      </c>
      <c r="BM78" s="13">
        <f t="shared" si="269"/>
        <v>0.03</v>
      </c>
      <c r="BN78" s="30">
        <f t="shared" si="352"/>
        <v>4693566.6069892822</v>
      </c>
      <c r="BO78" s="30">
        <f t="shared" si="353"/>
        <v>1354573.1510565602</v>
      </c>
      <c r="BP78" s="30">
        <f t="shared" si="354"/>
        <v>2687198.8153378428</v>
      </c>
      <c r="BQ78" s="30">
        <f t="shared" si="355"/>
        <v>999210.83624579024</v>
      </c>
      <c r="BR78" s="36">
        <f t="shared" si="270"/>
        <v>0.3</v>
      </c>
      <c r="BS78" s="36">
        <f t="shared" si="271"/>
        <v>0.25</v>
      </c>
      <c r="BT78" s="36">
        <f t="shared" si="272"/>
        <v>0.2</v>
      </c>
      <c r="BU78" s="36">
        <f t="shared" si="273"/>
        <v>0.2</v>
      </c>
      <c r="BV78" s="36">
        <f t="shared" si="274"/>
        <v>0.2</v>
      </c>
      <c r="BW78" s="36">
        <f t="shared" si="275"/>
        <v>0.2</v>
      </c>
      <c r="BX78" s="36">
        <f t="shared" si="276"/>
        <v>0.2</v>
      </c>
      <c r="BY78" s="36">
        <f t="shared" si="277"/>
        <v>0.2</v>
      </c>
      <c r="BZ78" s="36">
        <f t="shared" si="278"/>
        <v>0.2</v>
      </c>
      <c r="CA78" s="36">
        <f t="shared" si="279"/>
        <v>0.2</v>
      </c>
      <c r="CB78" s="36">
        <f t="shared" si="280"/>
        <v>0.2</v>
      </c>
      <c r="CC78" s="36">
        <f t="shared" si="281"/>
        <v>0.2</v>
      </c>
      <c r="CD78" s="35">
        <f t="shared" si="282"/>
        <v>0.36733462223617608</v>
      </c>
      <c r="CE78" s="35">
        <f t="shared" si="283"/>
        <v>0.36733462223617608</v>
      </c>
      <c r="CF78" s="35">
        <f t="shared" si="284"/>
        <v>0.36733462223617608</v>
      </c>
      <c r="CG78" s="35">
        <f t="shared" si="285"/>
        <v>0.36733462223617608</v>
      </c>
      <c r="CH78" s="28">
        <f t="shared" si="286"/>
        <v>0</v>
      </c>
      <c r="CI78" s="28">
        <f t="shared" si="287"/>
        <v>0</v>
      </c>
      <c r="CJ78" s="28">
        <f t="shared" si="288"/>
        <v>15770.614051916862</v>
      </c>
      <c r="CK78" s="28">
        <f t="shared" si="289"/>
        <v>23888.724528187784</v>
      </c>
      <c r="CL78" s="28">
        <f t="shared" si="290"/>
        <v>32524.84213562197</v>
      </c>
      <c r="CM78" s="28">
        <f t="shared" si="291"/>
        <v>31774.254134565552</v>
      </c>
      <c r="CN78" s="28">
        <f t="shared" si="292"/>
        <v>22669.837945182044</v>
      </c>
      <c r="CO78" s="28">
        <f t="shared" si="293"/>
        <v>15649.069200312979</v>
      </c>
      <c r="CP78" s="28">
        <f t="shared" si="294"/>
        <v>9597.6668245222954</v>
      </c>
      <c r="CQ78" s="28">
        <f t="shared" si="295"/>
        <v>5787.4686638113126</v>
      </c>
      <c r="CR78" s="28">
        <f t="shared" si="296"/>
        <v>3303.6965685284486</v>
      </c>
      <c r="CS78" s="28">
        <f t="shared" si="297"/>
        <v>4270.9585679807278</v>
      </c>
      <c r="CT78" s="44">
        <f t="shared" si="356"/>
        <v>0</v>
      </c>
      <c r="CU78" s="44">
        <f t="shared" si="357"/>
        <v>0</v>
      </c>
      <c r="CV78" s="44">
        <f t="shared" si="358"/>
        <v>3.9498611922023953E-2</v>
      </c>
      <c r="CW78" s="44">
        <f t="shared" si="359"/>
        <v>7.3077736814811098E-2</v>
      </c>
      <c r="CX78" s="44">
        <f t="shared" si="360"/>
        <v>0.1215251652378605</v>
      </c>
      <c r="CY78" s="44">
        <f t="shared" si="361"/>
        <v>0.19001022887943456</v>
      </c>
      <c r="CZ78" s="44">
        <f t="shared" si="362"/>
        <v>0.28431012240791947</v>
      </c>
      <c r="DA78" s="44">
        <f t="shared" si="363"/>
        <v>0.41159937643882499</v>
      </c>
      <c r="DB78" s="44">
        <f t="shared" si="364"/>
        <v>0.5294124585085358</v>
      </c>
      <c r="DC78" s="44">
        <f t="shared" si="365"/>
        <v>0.66951364181969453</v>
      </c>
      <c r="DD78" s="44">
        <f t="shared" si="366"/>
        <v>0.80151789052702405</v>
      </c>
      <c r="DE78" s="44">
        <f t="shared" si="367"/>
        <v>0.9308291938963299</v>
      </c>
      <c r="DF78" s="21">
        <f t="shared" si="298"/>
        <v>0</v>
      </c>
      <c r="DG78" s="21">
        <f t="shared" si="299"/>
        <v>0</v>
      </c>
      <c r="DH78" s="21">
        <f t="shared" si="300"/>
        <v>0</v>
      </c>
      <c r="DI78" s="21">
        <f t="shared" si="301"/>
        <v>0</v>
      </c>
      <c r="DJ78" s="21">
        <f t="shared" si="302"/>
        <v>57712.76689787615</v>
      </c>
      <c r="DK78" s="21">
        <f t="shared" si="303"/>
        <v>63861.746140641073</v>
      </c>
      <c r="DL78" s="21">
        <f t="shared" si="304"/>
        <v>30450.785402483751</v>
      </c>
      <c r="DM78" s="21">
        <f t="shared" si="305"/>
        <v>14519.652024338424</v>
      </c>
      <c r="DN78" s="21">
        <f t="shared" si="306"/>
        <v>6923.3122273055487</v>
      </c>
      <c r="DO78" s="21">
        <f t="shared" si="307"/>
        <v>3301.1984113996045</v>
      </c>
      <c r="DP78" s="21">
        <f t="shared" si="308"/>
        <v>1574.0891922316625</v>
      </c>
      <c r="DQ78" s="21">
        <f t="shared" si="309"/>
        <v>1752.2568566177467</v>
      </c>
      <c r="DR78" s="21">
        <f t="shared" si="310"/>
        <v>0</v>
      </c>
      <c r="DS78" s="21">
        <f t="shared" si="311"/>
        <v>5259294.9238423239</v>
      </c>
      <c r="DT78" s="21">
        <f t="shared" si="312"/>
        <v>5380534.1796201589</v>
      </c>
      <c r="DU78" s="21">
        <f t="shared" si="313"/>
        <v>4494545.6483919332</v>
      </c>
      <c r="DV78" s="13">
        <f t="shared" si="314"/>
        <v>0</v>
      </c>
      <c r="DW78" s="13">
        <f t="shared" si="315"/>
        <v>0</v>
      </c>
      <c r="DX78" s="13">
        <f t="shared" si="316"/>
        <v>0</v>
      </c>
      <c r="DY78" s="13">
        <f t="shared" si="317"/>
        <v>0</v>
      </c>
      <c r="DZ78" s="13">
        <f t="shared" si="318"/>
        <v>191553.75220403844</v>
      </c>
      <c r="EA78" s="13">
        <f t="shared" si="319"/>
        <v>308180.31661563832</v>
      </c>
      <c r="EB78" s="13">
        <f t="shared" si="320"/>
        <v>205324.99026374813</v>
      </c>
      <c r="EC78" s="13">
        <f t="shared" si="321"/>
        <v>132823.70561560243</v>
      </c>
      <c r="ED78" s="13">
        <f t="shared" si="322"/>
        <v>76862.731015760204</v>
      </c>
      <c r="EE78" s="13">
        <f t="shared" si="323"/>
        <v>43921.162350912819</v>
      </c>
      <c r="EF78" s="13">
        <f t="shared" si="324"/>
        <v>23907.174213991351</v>
      </c>
      <c r="EG78" s="13">
        <f t="shared" si="325"/>
        <v>29610.464369606067</v>
      </c>
      <c r="EH78" s="13">
        <f t="shared" si="326"/>
        <v>0</v>
      </c>
      <c r="EI78" s="13">
        <f t="shared" si="327"/>
        <v>52592.949238423244</v>
      </c>
      <c r="EJ78" s="13">
        <f t="shared" si="328"/>
        <v>107610.68359240318</v>
      </c>
      <c r="EK78" s="13">
        <f t="shared" si="329"/>
        <v>134836.36945175799</v>
      </c>
      <c r="EL78" s="21">
        <f t="shared" si="368"/>
        <v>1012184.2966492978</v>
      </c>
      <c r="EM78" s="21">
        <f t="shared" si="369"/>
        <v>295040.00228258444</v>
      </c>
      <c r="EN78" s="21">
        <f t="shared" si="330"/>
        <v>15182764449.739468</v>
      </c>
      <c r="EO78" s="21">
        <f t="shared" si="331"/>
        <v>6638400051.3581495</v>
      </c>
      <c r="EP78" s="21">
        <f t="shared" si="332"/>
        <v>12930228019.876209</v>
      </c>
      <c r="EQ78" s="21">
        <f t="shared" si="333"/>
        <v>4539324106.9413204</v>
      </c>
      <c r="ER78" s="21">
        <f t="shared" si="334"/>
        <v>304089816.43169653</v>
      </c>
      <c r="ES78" s="21">
        <f t="shared" si="335"/>
        <v>106754670.70510148</v>
      </c>
    </row>
    <row r="79" spans="1:149" x14ac:dyDescent="0.25">
      <c r="O79" s="3">
        <v>77</v>
      </c>
      <c r="P79" s="21">
        <f t="shared" si="380"/>
        <v>450507.28597265156</v>
      </c>
      <c r="Q79" s="21">
        <f t="shared" si="381"/>
        <v>419815.18888336571</v>
      </c>
      <c r="R79" s="13">
        <f t="shared" si="393"/>
        <v>692036.07592692517</v>
      </c>
      <c r="S79" s="13">
        <f t="shared" si="336"/>
        <v>512672.93441586883</v>
      </c>
      <c r="T79" s="13">
        <f t="shared" si="337"/>
        <v>399270.08278272959</v>
      </c>
      <c r="U79" s="13">
        <f t="shared" si="338"/>
        <v>326894.69555836677</v>
      </c>
      <c r="V79" s="13">
        <f t="shared" si="339"/>
        <v>267638.74027187465</v>
      </c>
      <c r="W79" s="13">
        <f t="shared" si="340"/>
        <v>167223.91379617201</v>
      </c>
      <c r="X79" s="13">
        <f t="shared" si="341"/>
        <v>79736.302573906883</v>
      </c>
      <c r="Y79" s="13">
        <f t="shared" si="342"/>
        <v>38020.147979016365</v>
      </c>
      <c r="Z79" s="13">
        <f t="shared" si="343"/>
        <v>18128.902465817639</v>
      </c>
      <c r="AA79" s="13">
        <f t="shared" si="344"/>
        <v>8644.28788643396</v>
      </c>
      <c r="AB79" s="13">
        <f t="shared" si="345"/>
        <v>4121.8001588645129</v>
      </c>
      <c r="AC79" s="13">
        <f t="shared" si="346"/>
        <v>4588.3375767832376</v>
      </c>
      <c r="AD79" s="13">
        <f t="shared" si="347"/>
        <v>47617256.786114305</v>
      </c>
      <c r="AE79" s="13">
        <f t="shared" si="348"/>
        <v>32978657.533290524</v>
      </c>
      <c r="AF79" s="13">
        <f t="shared" si="349"/>
        <v>18515688.3964146</v>
      </c>
      <c r="AG79" s="13">
        <f t="shared" si="350"/>
        <v>15466792.688449746</v>
      </c>
      <c r="AH79" s="21">
        <f t="shared" si="250"/>
        <v>0</v>
      </c>
      <c r="AI79" s="21">
        <f t="shared" si="251"/>
        <v>1538.0188032476065</v>
      </c>
      <c r="AJ79" s="21">
        <f t="shared" si="252"/>
        <v>19753.361990303467</v>
      </c>
      <c r="AK79" s="21">
        <f t="shared" si="253"/>
        <v>89397.096743224916</v>
      </c>
      <c r="AL79" s="21">
        <f t="shared" si="254"/>
        <v>154751.53687509557</v>
      </c>
      <c r="AM79" s="21">
        <f t="shared" si="255"/>
        <v>135486.57520938272</v>
      </c>
      <c r="AN79" s="21">
        <f t="shared" si="256"/>
        <v>74691.932274231309</v>
      </c>
      <c r="AO79" s="21">
        <f t="shared" si="257"/>
        <v>37429.835155131637</v>
      </c>
      <c r="AP79" s="21">
        <f t="shared" si="258"/>
        <v>18030.624731397678</v>
      </c>
      <c r="AQ79" s="21">
        <f t="shared" si="259"/>
        <v>8618.3550227746582</v>
      </c>
      <c r="AR79" s="21">
        <f t="shared" si="260"/>
        <v>4121.8001588645129</v>
      </c>
      <c r="AS79" s="21">
        <f t="shared" si="261"/>
        <v>4588.3375767832376</v>
      </c>
      <c r="AT79" s="21">
        <f t="shared" si="262"/>
        <v>0</v>
      </c>
      <c r="AU79" s="21">
        <f t="shared" si="263"/>
        <v>16489328.766645262</v>
      </c>
      <c r="AV79" s="21">
        <f t="shared" si="264"/>
        <v>18515688.3964146</v>
      </c>
      <c r="AW79" s="21">
        <f t="shared" si="265"/>
        <v>15466792.688449746</v>
      </c>
      <c r="AX79" s="13">
        <f t="shared" si="351"/>
        <v>0.2</v>
      </c>
      <c r="AY79" s="13">
        <f t="shared" si="382"/>
        <v>0.6</v>
      </c>
      <c r="AZ79" s="13">
        <f t="shared" si="383"/>
        <v>1.2658</v>
      </c>
      <c r="BA79" s="13">
        <f t="shared" si="384"/>
        <v>2.1566490283454169</v>
      </c>
      <c r="BB79" s="13">
        <f t="shared" si="385"/>
        <v>3.3190880025386722</v>
      </c>
      <c r="BC79" s="13">
        <f t="shared" si="386"/>
        <v>4.825742095071643</v>
      </c>
      <c r="BD79" s="13">
        <f t="shared" si="387"/>
        <v>6.742847107222059</v>
      </c>
      <c r="BE79" s="13">
        <f t="shared" si="388"/>
        <v>9.147857358632427</v>
      </c>
      <c r="BF79" s="13">
        <f t="shared" si="389"/>
        <v>11.10201714038436</v>
      </c>
      <c r="BG79" s="13">
        <f t="shared" si="390"/>
        <v>13.304611500859659</v>
      </c>
      <c r="BH79" s="13">
        <f t="shared" si="391"/>
        <v>15.18794127549231</v>
      </c>
      <c r="BI79" s="13">
        <f t="shared" si="392"/>
        <v>16.89847253717025</v>
      </c>
      <c r="BJ79" s="13">
        <f t="shared" si="266"/>
        <v>4.0000000000000001E-3</v>
      </c>
      <c r="BK79" s="13">
        <f t="shared" si="267"/>
        <v>0.01</v>
      </c>
      <c r="BL79" s="13">
        <f t="shared" si="268"/>
        <v>0.02</v>
      </c>
      <c r="BM79" s="13">
        <f t="shared" si="269"/>
        <v>0.03</v>
      </c>
      <c r="BN79" s="30">
        <f t="shared" si="352"/>
        <v>4693566.6069826009</v>
      </c>
      <c r="BO79" s="30">
        <f t="shared" si="353"/>
        <v>1354573.1510591467</v>
      </c>
      <c r="BP79" s="30">
        <f t="shared" si="354"/>
        <v>2687198.8153324085</v>
      </c>
      <c r="BQ79" s="30">
        <f t="shared" si="355"/>
        <v>999210.83624823694</v>
      </c>
      <c r="BR79" s="36">
        <f t="shared" si="270"/>
        <v>0.3</v>
      </c>
      <c r="BS79" s="36">
        <f t="shared" si="271"/>
        <v>0.25</v>
      </c>
      <c r="BT79" s="36">
        <f t="shared" si="272"/>
        <v>0.2</v>
      </c>
      <c r="BU79" s="36">
        <f t="shared" si="273"/>
        <v>0.2</v>
      </c>
      <c r="BV79" s="36">
        <f t="shared" si="274"/>
        <v>0.2</v>
      </c>
      <c r="BW79" s="36">
        <f t="shared" si="275"/>
        <v>0.2</v>
      </c>
      <c r="BX79" s="36">
        <f t="shared" si="276"/>
        <v>0.2</v>
      </c>
      <c r="BY79" s="36">
        <f t="shared" si="277"/>
        <v>0.2</v>
      </c>
      <c r="BZ79" s="36">
        <f t="shared" si="278"/>
        <v>0.2</v>
      </c>
      <c r="CA79" s="36">
        <f t="shared" si="279"/>
        <v>0.2</v>
      </c>
      <c r="CB79" s="36">
        <f t="shared" si="280"/>
        <v>0.2</v>
      </c>
      <c r="CC79" s="36">
        <f t="shared" si="281"/>
        <v>0.2</v>
      </c>
      <c r="CD79" s="35">
        <f t="shared" si="282"/>
        <v>0.36733462223586166</v>
      </c>
      <c r="CE79" s="35">
        <f t="shared" si="283"/>
        <v>0.36733462223586166</v>
      </c>
      <c r="CF79" s="35">
        <f t="shared" si="284"/>
        <v>0.36733462223586166</v>
      </c>
      <c r="CG79" s="35">
        <f t="shared" si="285"/>
        <v>0.36733462223586166</v>
      </c>
      <c r="CH79" s="28">
        <f t="shared" si="286"/>
        <v>0</v>
      </c>
      <c r="CI79" s="28">
        <f t="shared" si="287"/>
        <v>0</v>
      </c>
      <c r="CJ79" s="28">
        <f t="shared" si="288"/>
        <v>15770.61405194052</v>
      </c>
      <c r="CK79" s="28">
        <f t="shared" si="289"/>
        <v>23888.724528219245</v>
      </c>
      <c r="CL79" s="28">
        <f t="shared" si="290"/>
        <v>32524.842135656545</v>
      </c>
      <c r="CM79" s="28">
        <f t="shared" si="291"/>
        <v>31774.254134588147</v>
      </c>
      <c r="CN79" s="28">
        <f t="shared" si="292"/>
        <v>22669.837945187086</v>
      </c>
      <c r="CO79" s="28">
        <f t="shared" si="293"/>
        <v>15649.069200305852</v>
      </c>
      <c r="CP79" s="28">
        <f t="shared" si="294"/>
        <v>9597.6668245089022</v>
      </c>
      <c r="CQ79" s="28">
        <f t="shared" si="295"/>
        <v>5787.4686637956856</v>
      </c>
      <c r="CR79" s="28">
        <f t="shared" si="296"/>
        <v>3303.6965685135538</v>
      </c>
      <c r="CS79" s="28">
        <f t="shared" si="297"/>
        <v>4270.9585679298052</v>
      </c>
      <c r="CT79" s="44">
        <f t="shared" si="356"/>
        <v>0</v>
      </c>
      <c r="CU79" s="44">
        <f t="shared" si="357"/>
        <v>0</v>
      </c>
      <c r="CV79" s="44">
        <f t="shared" si="358"/>
        <v>3.9498611922101863E-2</v>
      </c>
      <c r="CW79" s="44">
        <f t="shared" si="359"/>
        <v>7.3077736814955246E-2</v>
      </c>
      <c r="CX79" s="44">
        <f t="shared" si="360"/>
        <v>0.12152516523810018</v>
      </c>
      <c r="CY79" s="44">
        <f t="shared" si="361"/>
        <v>0.19001022887980931</v>
      </c>
      <c r="CZ79" s="44">
        <f t="shared" si="362"/>
        <v>0.28431012240848025</v>
      </c>
      <c r="DA79" s="44">
        <f t="shared" si="363"/>
        <v>0.41159937643963679</v>
      </c>
      <c r="DB79" s="44">
        <f t="shared" si="364"/>
        <v>0.52941245850957996</v>
      </c>
      <c r="DC79" s="44">
        <f t="shared" si="365"/>
        <v>0.66951364182101503</v>
      </c>
      <c r="DD79" s="44">
        <f t="shared" si="366"/>
        <v>0.80151789052860511</v>
      </c>
      <c r="DE79" s="44">
        <f t="shared" si="367"/>
        <v>0.93082919389816599</v>
      </c>
      <c r="DF79" s="21">
        <f t="shared" si="298"/>
        <v>0</v>
      </c>
      <c r="DG79" s="21">
        <f t="shared" si="299"/>
        <v>0</v>
      </c>
      <c r="DH79" s="21">
        <f t="shared" si="300"/>
        <v>0</v>
      </c>
      <c r="DI79" s="21">
        <f t="shared" si="301"/>
        <v>0</v>
      </c>
      <c r="DJ79" s="21">
        <f t="shared" si="302"/>
        <v>57712.766897823676</v>
      </c>
      <c r="DK79" s="21">
        <f t="shared" si="303"/>
        <v>63861.746140560521</v>
      </c>
      <c r="DL79" s="21">
        <f t="shared" si="304"/>
        <v>30450.785402430462</v>
      </c>
      <c r="DM79" s="21">
        <f t="shared" si="305"/>
        <v>14519.652024303174</v>
      </c>
      <c r="DN79" s="21">
        <f t="shared" si="306"/>
        <v>6923.3122272822329</v>
      </c>
      <c r="DO79" s="21">
        <f t="shared" si="307"/>
        <v>3301.1984113841795</v>
      </c>
      <c r="DP79" s="21">
        <f t="shared" si="308"/>
        <v>1574.0891922214605</v>
      </c>
      <c r="DQ79" s="21">
        <f t="shared" si="309"/>
        <v>1752.2568565933982</v>
      </c>
      <c r="DR79" s="21">
        <f t="shared" si="310"/>
        <v>0</v>
      </c>
      <c r="DS79" s="21">
        <f t="shared" si="311"/>
        <v>5259294.9238465456</v>
      </c>
      <c r="DT79" s="21">
        <f t="shared" si="312"/>
        <v>5380534.1796281766</v>
      </c>
      <c r="DU79" s="21">
        <f t="shared" si="313"/>
        <v>4494545.648410338</v>
      </c>
      <c r="DV79" s="13">
        <f t="shared" si="314"/>
        <v>0</v>
      </c>
      <c r="DW79" s="13">
        <f t="shared" si="315"/>
        <v>0</v>
      </c>
      <c r="DX79" s="13">
        <f t="shared" si="316"/>
        <v>0</v>
      </c>
      <c r="DY79" s="13">
        <f t="shared" si="317"/>
        <v>0</v>
      </c>
      <c r="DZ79" s="13">
        <f t="shared" si="318"/>
        <v>191553.75220387758</v>
      </c>
      <c r="EA79" s="13">
        <f t="shared" si="319"/>
        <v>308180.31661528192</v>
      </c>
      <c r="EB79" s="13">
        <f t="shared" si="320"/>
        <v>205324.99026341795</v>
      </c>
      <c r="EC79" s="13">
        <f t="shared" si="321"/>
        <v>132823.705615304</v>
      </c>
      <c r="ED79" s="13">
        <f t="shared" si="322"/>
        <v>76862.731015519967</v>
      </c>
      <c r="EE79" s="13">
        <f t="shared" si="323"/>
        <v>43921.162350721592</v>
      </c>
      <c r="EF79" s="13">
        <f t="shared" si="324"/>
        <v>23907.174213846669</v>
      </c>
      <c r="EG79" s="13">
        <f t="shared" si="325"/>
        <v>29610.464369211808</v>
      </c>
      <c r="EH79" s="13">
        <f t="shared" si="326"/>
        <v>0</v>
      </c>
      <c r="EI79" s="13">
        <f t="shared" si="327"/>
        <v>52592.949238465459</v>
      </c>
      <c r="EJ79" s="13">
        <f t="shared" si="328"/>
        <v>107610.68359256354</v>
      </c>
      <c r="EK79" s="13">
        <f t="shared" si="329"/>
        <v>134836.36945231014</v>
      </c>
      <c r="EL79" s="21">
        <f t="shared" si="368"/>
        <v>1012184.2966471814</v>
      </c>
      <c r="EM79" s="21">
        <f t="shared" si="369"/>
        <v>295040.00228333916</v>
      </c>
      <c r="EN79" s="21">
        <f t="shared" si="330"/>
        <v>15182764449.707722</v>
      </c>
      <c r="EO79" s="21">
        <f t="shared" si="331"/>
        <v>6638400051.3751307</v>
      </c>
      <c r="EP79" s="21">
        <f t="shared" si="332"/>
        <v>12930228019.844463</v>
      </c>
      <c r="EQ79" s="21">
        <f t="shared" si="333"/>
        <v>4539324106.9583015</v>
      </c>
      <c r="ER79" s="21">
        <f t="shared" si="334"/>
        <v>289259181.08014023</v>
      </c>
      <c r="ES79" s="21">
        <f t="shared" si="335"/>
        <v>101548183.97795677</v>
      </c>
    </row>
    <row r="80" spans="1:149" x14ac:dyDescent="0.25">
      <c r="O80" s="3">
        <v>78</v>
      </c>
      <c r="P80" s="21">
        <f t="shared" si="380"/>
        <v>450507.28597265156</v>
      </c>
      <c r="Q80" s="21">
        <f t="shared" si="381"/>
        <v>419815.18888336571</v>
      </c>
      <c r="R80" s="13">
        <f t="shared" si="393"/>
        <v>692036.07592680282</v>
      </c>
      <c r="S80" s="13">
        <f t="shared" si="336"/>
        <v>512672.93441574293</v>
      </c>
      <c r="T80" s="13">
        <f t="shared" si="337"/>
        <v>399270.08278259367</v>
      </c>
      <c r="U80" s="13">
        <f t="shared" si="338"/>
        <v>326894.69555821235</v>
      </c>
      <c r="V80" s="13">
        <f t="shared" si="339"/>
        <v>267638.74027169921</v>
      </c>
      <c r="W80" s="13">
        <f t="shared" si="340"/>
        <v>167223.91379601997</v>
      </c>
      <c r="X80" s="13">
        <f t="shared" si="341"/>
        <v>79736.302573806315</v>
      </c>
      <c r="Y80" s="13">
        <f t="shared" si="342"/>
        <v>38020.147978949833</v>
      </c>
      <c r="Z80" s="13">
        <f t="shared" si="343"/>
        <v>18128.902465773626</v>
      </c>
      <c r="AA80" s="13">
        <f t="shared" si="344"/>
        <v>8644.2878864048489</v>
      </c>
      <c r="AB80" s="13">
        <f t="shared" si="345"/>
        <v>4121.8001588452544</v>
      </c>
      <c r="AC80" s="13">
        <f t="shared" si="346"/>
        <v>4588.3375767372781</v>
      </c>
      <c r="AD80" s="13">
        <f t="shared" si="347"/>
        <v>47617256.786119848</v>
      </c>
      <c r="AE80" s="13">
        <f t="shared" si="348"/>
        <v>32978657.533306241</v>
      </c>
      <c r="AF80" s="13">
        <f t="shared" si="349"/>
        <v>18515688.396432653</v>
      </c>
      <c r="AG80" s="13">
        <f t="shared" si="350"/>
        <v>15466792.68849388</v>
      </c>
      <c r="AH80" s="21">
        <f t="shared" si="250"/>
        <v>0</v>
      </c>
      <c r="AI80" s="21">
        <f t="shared" si="251"/>
        <v>1538.0188032472288</v>
      </c>
      <c r="AJ80" s="21">
        <f t="shared" si="252"/>
        <v>19753.361990296744</v>
      </c>
      <c r="AK80" s="21">
        <f t="shared" si="253"/>
        <v>89397.096743182687</v>
      </c>
      <c r="AL80" s="21">
        <f t="shared" si="254"/>
        <v>154751.53687499411</v>
      </c>
      <c r="AM80" s="21">
        <f t="shared" si="255"/>
        <v>135486.57520925952</v>
      </c>
      <c r="AN80" s="21">
        <f t="shared" si="256"/>
        <v>74691.9322741371</v>
      </c>
      <c r="AO80" s="21">
        <f t="shared" si="257"/>
        <v>37429.835155066139</v>
      </c>
      <c r="AP80" s="21">
        <f t="shared" si="258"/>
        <v>18030.624731353906</v>
      </c>
      <c r="AQ80" s="21">
        <f t="shared" si="259"/>
        <v>8618.3550227456344</v>
      </c>
      <c r="AR80" s="21">
        <f t="shared" si="260"/>
        <v>4121.8001588452544</v>
      </c>
      <c r="AS80" s="21">
        <f t="shared" si="261"/>
        <v>4588.3375767372781</v>
      </c>
      <c r="AT80" s="21">
        <f t="shared" si="262"/>
        <v>0</v>
      </c>
      <c r="AU80" s="21">
        <f t="shared" si="263"/>
        <v>16489328.766653121</v>
      </c>
      <c r="AV80" s="21">
        <f t="shared" si="264"/>
        <v>18515688.396432653</v>
      </c>
      <c r="AW80" s="21">
        <f t="shared" si="265"/>
        <v>15466792.68849388</v>
      </c>
      <c r="AX80" s="13">
        <f t="shared" si="351"/>
        <v>0.2</v>
      </c>
      <c r="AY80" s="13">
        <f t="shared" si="382"/>
        <v>0.6</v>
      </c>
      <c r="AZ80" s="13">
        <f t="shared" si="383"/>
        <v>1.2658</v>
      </c>
      <c r="BA80" s="13">
        <f t="shared" si="384"/>
        <v>2.1566490283454711</v>
      </c>
      <c r="BB80" s="13">
        <f t="shared" si="385"/>
        <v>3.3190880025388387</v>
      </c>
      <c r="BC80" s="13">
        <f t="shared" si="386"/>
        <v>4.825742095072008</v>
      </c>
      <c r="BD80" s="13">
        <f t="shared" si="387"/>
        <v>6.7428471072227492</v>
      </c>
      <c r="BE80" s="13">
        <f t="shared" si="388"/>
        <v>9.1478573586336207</v>
      </c>
      <c r="BF80" s="13">
        <f t="shared" si="389"/>
        <v>11.1020171403863</v>
      </c>
      <c r="BG80" s="13">
        <f t="shared" si="390"/>
        <v>13.304611500862714</v>
      </c>
      <c r="BH80" s="13">
        <f t="shared" si="391"/>
        <v>15.187941275497014</v>
      </c>
      <c r="BI80" s="13">
        <f t="shared" si="392"/>
        <v>16.898472537177323</v>
      </c>
      <c r="BJ80" s="13">
        <f t="shared" si="266"/>
        <v>4.0000000000000001E-3</v>
      </c>
      <c r="BK80" s="13">
        <f t="shared" si="267"/>
        <v>0.01</v>
      </c>
      <c r="BL80" s="13">
        <f t="shared" si="268"/>
        <v>0.02</v>
      </c>
      <c r="BM80" s="13">
        <f t="shared" si="269"/>
        <v>0.03</v>
      </c>
      <c r="BN80" s="30">
        <f t="shared" si="352"/>
        <v>4693566.606977785</v>
      </c>
      <c r="BO80" s="30">
        <f t="shared" si="353"/>
        <v>1354573.1510610112</v>
      </c>
      <c r="BP80" s="30">
        <f t="shared" si="354"/>
        <v>2687198.8153284909</v>
      </c>
      <c r="BQ80" s="30">
        <f t="shared" si="355"/>
        <v>999210.83625000063</v>
      </c>
      <c r="BR80" s="36">
        <f t="shared" si="270"/>
        <v>0.3</v>
      </c>
      <c r="BS80" s="36">
        <f t="shared" si="271"/>
        <v>0.25</v>
      </c>
      <c r="BT80" s="36">
        <f t="shared" si="272"/>
        <v>0.2</v>
      </c>
      <c r="BU80" s="36">
        <f t="shared" si="273"/>
        <v>0.2</v>
      </c>
      <c r="BV80" s="36">
        <f t="shared" si="274"/>
        <v>0.2</v>
      </c>
      <c r="BW80" s="36">
        <f t="shared" si="275"/>
        <v>0.2</v>
      </c>
      <c r="BX80" s="36">
        <f t="shared" si="276"/>
        <v>0.2</v>
      </c>
      <c r="BY80" s="36">
        <f t="shared" si="277"/>
        <v>0.2</v>
      </c>
      <c r="BZ80" s="36">
        <f t="shared" si="278"/>
        <v>0.2</v>
      </c>
      <c r="CA80" s="36">
        <f t="shared" si="279"/>
        <v>0.2</v>
      </c>
      <c r="CB80" s="36">
        <f t="shared" si="280"/>
        <v>0.2</v>
      </c>
      <c r="CC80" s="36">
        <f t="shared" si="281"/>
        <v>0.2</v>
      </c>
      <c r="CD80" s="35">
        <f t="shared" si="282"/>
        <v>0.36733462223563496</v>
      </c>
      <c r="CE80" s="35">
        <f t="shared" si="283"/>
        <v>0.36733462223563496</v>
      </c>
      <c r="CF80" s="35">
        <f t="shared" si="284"/>
        <v>0.36733462223563496</v>
      </c>
      <c r="CG80" s="35">
        <f t="shared" si="285"/>
        <v>0.36733462223563496</v>
      </c>
      <c r="CH80" s="28">
        <f t="shared" si="286"/>
        <v>0</v>
      </c>
      <c r="CI80" s="28">
        <f t="shared" si="287"/>
        <v>0</v>
      </c>
      <c r="CJ80" s="28">
        <f t="shared" si="288"/>
        <v>15770.614051957575</v>
      </c>
      <c r="CK80" s="28">
        <f t="shared" si="289"/>
        <v>23888.724528241924</v>
      </c>
      <c r="CL80" s="28">
        <f t="shared" si="290"/>
        <v>32524.842135681469</v>
      </c>
      <c r="CM80" s="28">
        <f t="shared" si="291"/>
        <v>31774.254134604445</v>
      </c>
      <c r="CN80" s="28">
        <f t="shared" si="292"/>
        <v>22669.837945190731</v>
      </c>
      <c r="CO80" s="28">
        <f t="shared" si="293"/>
        <v>15649.069200300717</v>
      </c>
      <c r="CP80" s="28">
        <f t="shared" si="294"/>
        <v>9597.6668244992488</v>
      </c>
      <c r="CQ80" s="28">
        <f t="shared" si="295"/>
        <v>5787.4686637844243</v>
      </c>
      <c r="CR80" s="28">
        <f t="shared" si="296"/>
        <v>3303.6965685028154</v>
      </c>
      <c r="CS80" s="28">
        <f t="shared" si="297"/>
        <v>4270.9585678930971</v>
      </c>
      <c r="CT80" s="44">
        <f t="shared" si="356"/>
        <v>0</v>
      </c>
      <c r="CU80" s="44">
        <f t="shared" si="357"/>
        <v>0</v>
      </c>
      <c r="CV80" s="44">
        <f t="shared" si="358"/>
        <v>3.949861192215802E-2</v>
      </c>
      <c r="CW80" s="44">
        <f t="shared" si="359"/>
        <v>7.3077736815059136E-2</v>
      </c>
      <c r="CX80" s="44">
        <f t="shared" si="360"/>
        <v>0.12152516523827298</v>
      </c>
      <c r="CY80" s="44">
        <f t="shared" si="361"/>
        <v>0.19001022888007954</v>
      </c>
      <c r="CZ80" s="44">
        <f t="shared" si="362"/>
        <v>0.28431012240888459</v>
      </c>
      <c r="DA80" s="44">
        <f t="shared" si="363"/>
        <v>0.41159937644022199</v>
      </c>
      <c r="DB80" s="44">
        <f t="shared" si="364"/>
        <v>0.5294124585103327</v>
      </c>
      <c r="DC80" s="44">
        <f t="shared" si="365"/>
        <v>0.66951364182196704</v>
      </c>
      <c r="DD80" s="44">
        <f t="shared" si="366"/>
        <v>0.80151789052974476</v>
      </c>
      <c r="DE80" s="44">
        <f t="shared" si="367"/>
        <v>0.93082919389948937</v>
      </c>
      <c r="DF80" s="21">
        <f t="shared" si="298"/>
        <v>0</v>
      </c>
      <c r="DG80" s="21">
        <f t="shared" si="299"/>
        <v>0</v>
      </c>
      <c r="DH80" s="21">
        <f t="shared" si="300"/>
        <v>0</v>
      </c>
      <c r="DI80" s="21">
        <f t="shared" si="301"/>
        <v>0</v>
      </c>
      <c r="DJ80" s="21">
        <f t="shared" si="302"/>
        <v>57712.766897785841</v>
      </c>
      <c r="DK80" s="21">
        <f t="shared" si="303"/>
        <v>63861.746140502466</v>
      </c>
      <c r="DL80" s="21">
        <f t="shared" si="304"/>
        <v>30450.785402392052</v>
      </c>
      <c r="DM80" s="21">
        <f t="shared" si="305"/>
        <v>14519.652024277768</v>
      </c>
      <c r="DN80" s="21">
        <f t="shared" si="306"/>
        <v>6923.3122272654255</v>
      </c>
      <c r="DO80" s="21">
        <f t="shared" si="307"/>
        <v>3301.1984113730623</v>
      </c>
      <c r="DP80" s="21">
        <f t="shared" si="308"/>
        <v>1574.0891922141061</v>
      </c>
      <c r="DQ80" s="21">
        <f t="shared" si="309"/>
        <v>1752.2568565758465</v>
      </c>
      <c r="DR80" s="21">
        <f t="shared" si="310"/>
        <v>0</v>
      </c>
      <c r="DS80" s="21">
        <f t="shared" si="311"/>
        <v>5259294.923849592</v>
      </c>
      <c r="DT80" s="21">
        <f t="shared" si="312"/>
        <v>5380534.1796339536</v>
      </c>
      <c r="DU80" s="21">
        <f t="shared" si="313"/>
        <v>4494545.6484236065</v>
      </c>
      <c r="DV80" s="13">
        <f t="shared" si="314"/>
        <v>0</v>
      </c>
      <c r="DW80" s="13">
        <f t="shared" si="315"/>
        <v>0</v>
      </c>
      <c r="DX80" s="13">
        <f t="shared" si="316"/>
        <v>0</v>
      </c>
      <c r="DY80" s="13">
        <f t="shared" si="317"/>
        <v>0</v>
      </c>
      <c r="DZ80" s="13">
        <f t="shared" si="318"/>
        <v>191553.75220376163</v>
      </c>
      <c r="EA80" s="13">
        <f t="shared" si="319"/>
        <v>308180.31661502511</v>
      </c>
      <c r="EB80" s="13">
        <f t="shared" si="320"/>
        <v>205324.99026317996</v>
      </c>
      <c r="EC80" s="13">
        <f t="shared" si="321"/>
        <v>132823.70561508893</v>
      </c>
      <c r="ED80" s="13">
        <f t="shared" si="322"/>
        <v>76862.731015346799</v>
      </c>
      <c r="EE80" s="13">
        <f t="shared" si="323"/>
        <v>43921.162350583763</v>
      </c>
      <c r="EF80" s="13">
        <f t="shared" si="324"/>
        <v>23907.174213742375</v>
      </c>
      <c r="EG80" s="13">
        <f t="shared" si="325"/>
        <v>29610.464368927605</v>
      </c>
      <c r="EH80" s="13">
        <f t="shared" si="326"/>
        <v>0</v>
      </c>
      <c r="EI80" s="13">
        <f t="shared" si="327"/>
        <v>52592.949238495923</v>
      </c>
      <c r="EJ80" s="13">
        <f t="shared" si="328"/>
        <v>107610.68359267908</v>
      </c>
      <c r="EK80" s="13">
        <f t="shared" si="329"/>
        <v>134836.3694527082</v>
      </c>
      <c r="EL80" s="21">
        <f t="shared" si="368"/>
        <v>1012184.2966456563</v>
      </c>
      <c r="EM80" s="21">
        <f t="shared" si="369"/>
        <v>295040.00228388316</v>
      </c>
      <c r="EN80" s="21">
        <f t="shared" si="330"/>
        <v>15182764449.684845</v>
      </c>
      <c r="EO80" s="21">
        <f t="shared" si="331"/>
        <v>6638400051.3873711</v>
      </c>
      <c r="EP80" s="21">
        <f t="shared" si="332"/>
        <v>12930228019.821587</v>
      </c>
      <c r="EQ80" s="21">
        <f t="shared" si="333"/>
        <v>4539324106.9705429</v>
      </c>
      <c r="ER80" s="21">
        <f t="shared" si="334"/>
        <v>275151844.3499229</v>
      </c>
      <c r="ES80" s="21">
        <f t="shared" si="335"/>
        <v>96595620.604704961</v>
      </c>
    </row>
    <row r="81" spans="1:149" x14ac:dyDescent="0.25">
      <c r="O81" s="3">
        <v>79</v>
      </c>
      <c r="P81" s="21">
        <f t="shared" si="380"/>
        <v>450507.28597265156</v>
      </c>
      <c r="Q81" s="21">
        <f t="shared" si="381"/>
        <v>419815.18888336571</v>
      </c>
      <c r="R81" s="13">
        <f t="shared" si="393"/>
        <v>692036.07592671446</v>
      </c>
      <c r="S81" s="13">
        <f t="shared" si="336"/>
        <v>512672.9344156523</v>
      </c>
      <c r="T81" s="13">
        <f t="shared" si="337"/>
        <v>399270.08278249559</v>
      </c>
      <c r="U81" s="13">
        <f t="shared" si="338"/>
        <v>326894.69555810106</v>
      </c>
      <c r="V81" s="13">
        <f t="shared" si="339"/>
        <v>267638.74027157278</v>
      </c>
      <c r="W81" s="13">
        <f t="shared" si="340"/>
        <v>167223.91379591034</v>
      </c>
      <c r="X81" s="13">
        <f t="shared" si="341"/>
        <v>79736.302573733818</v>
      </c>
      <c r="Y81" s="13">
        <f t="shared" si="342"/>
        <v>38020.147978901878</v>
      </c>
      <c r="Z81" s="13">
        <f t="shared" si="343"/>
        <v>18128.902465741903</v>
      </c>
      <c r="AA81" s="13">
        <f t="shared" si="344"/>
        <v>8644.2878863838632</v>
      </c>
      <c r="AB81" s="13">
        <f t="shared" si="345"/>
        <v>4121.8001588313728</v>
      </c>
      <c r="AC81" s="13">
        <f t="shared" si="346"/>
        <v>4588.337576704148</v>
      </c>
      <c r="AD81" s="13">
        <f t="shared" si="347"/>
        <v>47617256.786123857</v>
      </c>
      <c r="AE81" s="13">
        <f t="shared" si="348"/>
        <v>32978657.533317555</v>
      </c>
      <c r="AF81" s="13">
        <f t="shared" si="349"/>
        <v>18515688.396445673</v>
      </c>
      <c r="AG81" s="13">
        <f t="shared" si="350"/>
        <v>15466792.68852569</v>
      </c>
      <c r="AH81" s="21">
        <f t="shared" si="250"/>
        <v>0</v>
      </c>
      <c r="AI81" s="21">
        <f t="shared" si="251"/>
        <v>1538.0188032469568</v>
      </c>
      <c r="AJ81" s="21">
        <f t="shared" si="252"/>
        <v>19753.361990291891</v>
      </c>
      <c r="AK81" s="21">
        <f t="shared" si="253"/>
        <v>89397.096743152244</v>
      </c>
      <c r="AL81" s="21">
        <f t="shared" si="254"/>
        <v>154751.536874921</v>
      </c>
      <c r="AM81" s="21">
        <f t="shared" si="255"/>
        <v>135486.5752091707</v>
      </c>
      <c r="AN81" s="21">
        <f t="shared" si="256"/>
        <v>74691.932274069186</v>
      </c>
      <c r="AO81" s="21">
        <f t="shared" si="257"/>
        <v>37429.835155018925</v>
      </c>
      <c r="AP81" s="21">
        <f t="shared" si="258"/>
        <v>18030.624731322354</v>
      </c>
      <c r="AQ81" s="21">
        <f t="shared" si="259"/>
        <v>8618.3550227247124</v>
      </c>
      <c r="AR81" s="21">
        <f t="shared" si="260"/>
        <v>4121.8001588313728</v>
      </c>
      <c r="AS81" s="21">
        <f t="shared" si="261"/>
        <v>4588.337576704148</v>
      </c>
      <c r="AT81" s="21">
        <f t="shared" si="262"/>
        <v>0</v>
      </c>
      <c r="AU81" s="21">
        <f t="shared" si="263"/>
        <v>16489328.766658777</v>
      </c>
      <c r="AV81" s="21">
        <f t="shared" si="264"/>
        <v>18515688.396445673</v>
      </c>
      <c r="AW81" s="21">
        <f t="shared" si="265"/>
        <v>15466792.68852569</v>
      </c>
      <c r="AX81" s="13">
        <f t="shared" si="351"/>
        <v>0.2</v>
      </c>
      <c r="AY81" s="13">
        <f t="shared" si="382"/>
        <v>0.6</v>
      </c>
      <c r="AZ81" s="13">
        <f t="shared" si="383"/>
        <v>1.2658</v>
      </c>
      <c r="BA81" s="13">
        <f t="shared" si="384"/>
        <v>2.1566490283455106</v>
      </c>
      <c r="BB81" s="13">
        <f t="shared" si="385"/>
        <v>3.3190880025389586</v>
      </c>
      <c r="BC81" s="13">
        <f t="shared" si="386"/>
        <v>4.8257420950722709</v>
      </c>
      <c r="BD81" s="13">
        <f t="shared" si="387"/>
        <v>6.7428471072232465</v>
      </c>
      <c r="BE81" s="13">
        <f t="shared" si="388"/>
        <v>9.1478573586344805</v>
      </c>
      <c r="BF81" s="13">
        <f t="shared" si="389"/>
        <v>11.102017140387698</v>
      </c>
      <c r="BG81" s="13">
        <f t="shared" si="390"/>
        <v>13.304611500864917</v>
      </c>
      <c r="BH81" s="13">
        <f t="shared" si="391"/>
        <v>15.187941275500402</v>
      </c>
      <c r="BI81" s="13">
        <f t="shared" si="392"/>
        <v>16.898472537182425</v>
      </c>
      <c r="BJ81" s="13">
        <f t="shared" si="266"/>
        <v>4.0000000000000001E-3</v>
      </c>
      <c r="BK81" s="13">
        <f t="shared" si="267"/>
        <v>0.01</v>
      </c>
      <c r="BL81" s="13">
        <f t="shared" si="268"/>
        <v>0.02</v>
      </c>
      <c r="BM81" s="13">
        <f t="shared" si="269"/>
        <v>0.03</v>
      </c>
      <c r="BN81" s="30">
        <f t="shared" si="352"/>
        <v>4693566.606974314</v>
      </c>
      <c r="BO81" s="30">
        <f t="shared" si="353"/>
        <v>1354573.1510623551</v>
      </c>
      <c r="BP81" s="30">
        <f t="shared" si="354"/>
        <v>2687198.8153256672</v>
      </c>
      <c r="BQ81" s="30">
        <f t="shared" si="355"/>
        <v>999210.83625127189</v>
      </c>
      <c r="BR81" s="36">
        <f t="shared" si="270"/>
        <v>0.3</v>
      </c>
      <c r="BS81" s="36">
        <f t="shared" si="271"/>
        <v>0.25</v>
      </c>
      <c r="BT81" s="36">
        <f t="shared" si="272"/>
        <v>0.2</v>
      </c>
      <c r="BU81" s="36">
        <f t="shared" si="273"/>
        <v>0.2</v>
      </c>
      <c r="BV81" s="36">
        <f t="shared" si="274"/>
        <v>0.2</v>
      </c>
      <c r="BW81" s="36">
        <f t="shared" si="275"/>
        <v>0.2</v>
      </c>
      <c r="BX81" s="36">
        <f t="shared" si="276"/>
        <v>0.2</v>
      </c>
      <c r="BY81" s="36">
        <f t="shared" si="277"/>
        <v>0.2</v>
      </c>
      <c r="BZ81" s="36">
        <f t="shared" si="278"/>
        <v>0.2</v>
      </c>
      <c r="CA81" s="36">
        <f t="shared" si="279"/>
        <v>0.2</v>
      </c>
      <c r="CB81" s="36">
        <f t="shared" si="280"/>
        <v>0.2</v>
      </c>
      <c r="CC81" s="36">
        <f t="shared" si="281"/>
        <v>0.2</v>
      </c>
      <c r="CD81" s="35">
        <f t="shared" si="282"/>
        <v>0.36733462223547153</v>
      </c>
      <c r="CE81" s="35">
        <f t="shared" si="283"/>
        <v>0.36733462223547153</v>
      </c>
      <c r="CF81" s="35">
        <f t="shared" si="284"/>
        <v>0.36733462223547153</v>
      </c>
      <c r="CG81" s="35">
        <f t="shared" si="285"/>
        <v>0.36733462223547153</v>
      </c>
      <c r="CH81" s="28">
        <f t="shared" si="286"/>
        <v>0</v>
      </c>
      <c r="CI81" s="28">
        <f t="shared" si="287"/>
        <v>0</v>
      </c>
      <c r="CJ81" s="28">
        <f t="shared" si="288"/>
        <v>15770.61405196986</v>
      </c>
      <c r="CK81" s="28">
        <f t="shared" si="289"/>
        <v>23888.724528258273</v>
      </c>
      <c r="CL81" s="28">
        <f t="shared" si="290"/>
        <v>32524.84213569944</v>
      </c>
      <c r="CM81" s="28">
        <f t="shared" si="291"/>
        <v>31774.254134616163</v>
      </c>
      <c r="CN81" s="28">
        <f t="shared" si="292"/>
        <v>22669.837945193347</v>
      </c>
      <c r="CO81" s="28">
        <f t="shared" si="293"/>
        <v>15649.069200297019</v>
      </c>
      <c r="CP81" s="28">
        <f t="shared" si="294"/>
        <v>9597.6668244922894</v>
      </c>
      <c r="CQ81" s="28">
        <f t="shared" si="295"/>
        <v>5787.4686637763043</v>
      </c>
      <c r="CR81" s="28">
        <f t="shared" si="296"/>
        <v>3303.6965684950737</v>
      </c>
      <c r="CS81" s="28">
        <f t="shared" si="297"/>
        <v>4270.9585678666363</v>
      </c>
      <c r="CT81" s="44">
        <f t="shared" si="356"/>
        <v>0</v>
      </c>
      <c r="CU81" s="44">
        <f t="shared" si="357"/>
        <v>0</v>
      </c>
      <c r="CV81" s="44">
        <f t="shared" si="358"/>
        <v>3.9498611922198494E-2</v>
      </c>
      <c r="CW81" s="44">
        <f t="shared" si="359"/>
        <v>7.3077736815134034E-2</v>
      </c>
      <c r="CX81" s="44">
        <f t="shared" si="360"/>
        <v>0.12152516523839753</v>
      </c>
      <c r="CY81" s="44">
        <f t="shared" si="361"/>
        <v>0.19001022888027419</v>
      </c>
      <c r="CZ81" s="44">
        <f t="shared" si="362"/>
        <v>0.28431012240917586</v>
      </c>
      <c r="DA81" s="44">
        <f t="shared" si="363"/>
        <v>0.41159937644064387</v>
      </c>
      <c r="DB81" s="44">
        <f t="shared" si="364"/>
        <v>0.52941245851087526</v>
      </c>
      <c r="DC81" s="44">
        <f t="shared" si="365"/>
        <v>0.66951364182265305</v>
      </c>
      <c r="DD81" s="44">
        <f t="shared" si="366"/>
        <v>0.80151789053056599</v>
      </c>
      <c r="DE81" s="44">
        <f t="shared" si="367"/>
        <v>0.9308291939004435</v>
      </c>
      <c r="DF81" s="21">
        <f t="shared" si="298"/>
        <v>0</v>
      </c>
      <c r="DG81" s="21">
        <f t="shared" si="299"/>
        <v>0</v>
      </c>
      <c r="DH81" s="21">
        <f t="shared" si="300"/>
        <v>0</v>
      </c>
      <c r="DI81" s="21">
        <f t="shared" si="301"/>
        <v>0</v>
      </c>
      <c r="DJ81" s="21">
        <f t="shared" si="302"/>
        <v>57712.766897758585</v>
      </c>
      <c r="DK81" s="21">
        <f t="shared" si="303"/>
        <v>63861.746140460593</v>
      </c>
      <c r="DL81" s="21">
        <f t="shared" si="304"/>
        <v>30450.785402364367</v>
      </c>
      <c r="DM81" s="21">
        <f t="shared" si="305"/>
        <v>14519.652024259452</v>
      </c>
      <c r="DN81" s="21">
        <f t="shared" si="306"/>
        <v>6923.3122272533101</v>
      </c>
      <c r="DO81" s="21">
        <f t="shared" si="307"/>
        <v>3301.1984113650483</v>
      </c>
      <c r="DP81" s="21">
        <f t="shared" si="308"/>
        <v>1574.0891922088047</v>
      </c>
      <c r="DQ81" s="21">
        <f t="shared" si="309"/>
        <v>1752.2568565631943</v>
      </c>
      <c r="DR81" s="21">
        <f t="shared" si="310"/>
        <v>0</v>
      </c>
      <c r="DS81" s="21">
        <f t="shared" si="311"/>
        <v>5259294.9238517843</v>
      </c>
      <c r="DT81" s="21">
        <f t="shared" si="312"/>
        <v>5380534.1796381203</v>
      </c>
      <c r="DU81" s="21">
        <f t="shared" si="313"/>
        <v>4494545.6484331703</v>
      </c>
      <c r="DV81" s="13">
        <f t="shared" si="314"/>
        <v>0</v>
      </c>
      <c r="DW81" s="13">
        <f t="shared" si="315"/>
        <v>0</v>
      </c>
      <c r="DX81" s="13">
        <f t="shared" si="316"/>
        <v>0</v>
      </c>
      <c r="DY81" s="13">
        <f t="shared" si="317"/>
        <v>0</v>
      </c>
      <c r="DZ81" s="13">
        <f t="shared" si="318"/>
        <v>191553.75220367807</v>
      </c>
      <c r="EA81" s="13">
        <f t="shared" si="319"/>
        <v>308180.31661483983</v>
      </c>
      <c r="EB81" s="13">
        <f t="shared" si="320"/>
        <v>205324.99026300843</v>
      </c>
      <c r="EC81" s="13">
        <f t="shared" si="321"/>
        <v>132823.70561493386</v>
      </c>
      <c r="ED81" s="13">
        <f t="shared" si="322"/>
        <v>76862.731015221972</v>
      </c>
      <c r="EE81" s="13">
        <f t="shared" si="323"/>
        <v>43921.162350484417</v>
      </c>
      <c r="EF81" s="13">
        <f t="shared" si="324"/>
        <v>23907.174213667189</v>
      </c>
      <c r="EG81" s="13">
        <f t="shared" si="325"/>
        <v>29610.464368722744</v>
      </c>
      <c r="EH81" s="13">
        <f t="shared" si="326"/>
        <v>0</v>
      </c>
      <c r="EI81" s="13">
        <f t="shared" si="327"/>
        <v>52592.949238517846</v>
      </c>
      <c r="EJ81" s="13">
        <f t="shared" si="328"/>
        <v>107610.68359276241</v>
      </c>
      <c r="EK81" s="13">
        <f t="shared" si="329"/>
        <v>134836.3694529951</v>
      </c>
      <c r="EL81" s="21">
        <f t="shared" si="368"/>
        <v>1012184.2966445565</v>
      </c>
      <c r="EM81" s="21">
        <f t="shared" si="369"/>
        <v>295040.00228427537</v>
      </c>
      <c r="EN81" s="21">
        <f t="shared" si="330"/>
        <v>15182764449.668346</v>
      </c>
      <c r="EO81" s="21">
        <f t="shared" si="331"/>
        <v>6638400051.3961954</v>
      </c>
      <c r="EP81" s="21">
        <f t="shared" si="332"/>
        <v>12930228019.805088</v>
      </c>
      <c r="EQ81" s="21">
        <f t="shared" si="333"/>
        <v>4539324106.9793663</v>
      </c>
      <c r="ER81" s="21">
        <f t="shared" si="334"/>
        <v>261732530.55095312</v>
      </c>
      <c r="ES81" s="21">
        <f t="shared" si="335"/>
        <v>91884596.597281381</v>
      </c>
    </row>
    <row r="82" spans="1:149" x14ac:dyDescent="0.25">
      <c r="O82" s="3">
        <v>80</v>
      </c>
      <c r="P82" s="21">
        <f t="shared" si="380"/>
        <v>450507.28597265156</v>
      </c>
      <c r="Q82" s="21">
        <f t="shared" si="381"/>
        <v>419815.18888336571</v>
      </c>
      <c r="R82" s="13">
        <f t="shared" si="393"/>
        <v>692036.07592665078</v>
      </c>
      <c r="S82" s="13">
        <f t="shared" si="336"/>
        <v>512672.93441558682</v>
      </c>
      <c r="T82" s="13">
        <f t="shared" si="337"/>
        <v>399270.08278242499</v>
      </c>
      <c r="U82" s="13">
        <f t="shared" si="338"/>
        <v>326894.69555802079</v>
      </c>
      <c r="V82" s="13">
        <f t="shared" si="339"/>
        <v>267638.74027148169</v>
      </c>
      <c r="W82" s="13">
        <f t="shared" si="340"/>
        <v>167223.91379583135</v>
      </c>
      <c r="X82" s="13">
        <f t="shared" si="341"/>
        <v>79736.302573681533</v>
      </c>
      <c r="Y82" s="13">
        <f t="shared" si="342"/>
        <v>38020.14797886731</v>
      </c>
      <c r="Z82" s="13">
        <f t="shared" si="343"/>
        <v>18128.902465719038</v>
      </c>
      <c r="AA82" s="13">
        <f t="shared" si="344"/>
        <v>8644.2878863687365</v>
      </c>
      <c r="AB82" s="13">
        <f t="shared" si="345"/>
        <v>4121.8001588213665</v>
      </c>
      <c r="AC82" s="13">
        <f t="shared" si="346"/>
        <v>4588.3375766802656</v>
      </c>
      <c r="AD82" s="13">
        <f t="shared" si="347"/>
        <v>47617256.786126748</v>
      </c>
      <c r="AE82" s="13">
        <f t="shared" si="348"/>
        <v>32978657.533325724</v>
      </c>
      <c r="AF82" s="13">
        <f t="shared" si="349"/>
        <v>18515688.396455053</v>
      </c>
      <c r="AG82" s="13">
        <f t="shared" si="350"/>
        <v>15466792.688548621</v>
      </c>
      <c r="AH82" s="21">
        <f t="shared" si="250"/>
        <v>0</v>
      </c>
      <c r="AI82" s="21">
        <f t="shared" si="251"/>
        <v>1538.0188032467604</v>
      </c>
      <c r="AJ82" s="21">
        <f t="shared" si="252"/>
        <v>19753.361990288398</v>
      </c>
      <c r="AK82" s="21">
        <f t="shared" si="253"/>
        <v>89397.0967431303</v>
      </c>
      <c r="AL82" s="21">
        <f t="shared" si="254"/>
        <v>154751.53687486835</v>
      </c>
      <c r="AM82" s="21">
        <f t="shared" si="255"/>
        <v>135486.57520910673</v>
      </c>
      <c r="AN82" s="21">
        <f t="shared" si="256"/>
        <v>74691.932274020204</v>
      </c>
      <c r="AO82" s="21">
        <f t="shared" si="257"/>
        <v>37429.835154984896</v>
      </c>
      <c r="AP82" s="21">
        <f t="shared" si="258"/>
        <v>18030.624731299613</v>
      </c>
      <c r="AQ82" s="21">
        <f t="shared" si="259"/>
        <v>8618.3550227096312</v>
      </c>
      <c r="AR82" s="21">
        <f t="shared" si="260"/>
        <v>4121.8001588213665</v>
      </c>
      <c r="AS82" s="21">
        <f t="shared" si="261"/>
        <v>4588.3375766802656</v>
      </c>
      <c r="AT82" s="21">
        <f t="shared" si="262"/>
        <v>0</v>
      </c>
      <c r="AU82" s="21">
        <f t="shared" si="263"/>
        <v>16489328.766662862</v>
      </c>
      <c r="AV82" s="21">
        <f t="shared" si="264"/>
        <v>18515688.396455053</v>
      </c>
      <c r="AW82" s="21">
        <f t="shared" si="265"/>
        <v>15466792.688548621</v>
      </c>
      <c r="AX82" s="13">
        <f t="shared" si="351"/>
        <v>0.2</v>
      </c>
      <c r="AY82" s="13">
        <f t="shared" si="382"/>
        <v>0.6</v>
      </c>
      <c r="AZ82" s="13">
        <f t="shared" si="383"/>
        <v>1.2658</v>
      </c>
      <c r="BA82" s="13">
        <f t="shared" si="384"/>
        <v>2.1566490283455391</v>
      </c>
      <c r="BB82" s="13">
        <f t="shared" si="385"/>
        <v>3.3190880025390452</v>
      </c>
      <c r="BC82" s="13">
        <f t="shared" si="386"/>
        <v>4.8257420950724619</v>
      </c>
      <c r="BD82" s="13">
        <f t="shared" si="387"/>
        <v>6.7428471072236054</v>
      </c>
      <c r="BE82" s="13">
        <f t="shared" si="388"/>
        <v>9.1478573586351004</v>
      </c>
      <c r="BF82" s="13">
        <f t="shared" si="389"/>
        <v>11.102017140388707</v>
      </c>
      <c r="BG82" s="13">
        <f t="shared" si="390"/>
        <v>13.304611500866505</v>
      </c>
      <c r="BH82" s="13">
        <f t="shared" si="391"/>
        <v>15.187941275502844</v>
      </c>
      <c r="BI82" s="13">
        <f t="shared" si="392"/>
        <v>16.898472537186098</v>
      </c>
      <c r="BJ82" s="13">
        <f t="shared" si="266"/>
        <v>4.0000000000000001E-3</v>
      </c>
      <c r="BK82" s="13">
        <f t="shared" si="267"/>
        <v>0.01</v>
      </c>
      <c r="BL82" s="13">
        <f t="shared" si="268"/>
        <v>0.02</v>
      </c>
      <c r="BM82" s="13">
        <f t="shared" si="269"/>
        <v>0.03</v>
      </c>
      <c r="BN82" s="30">
        <f t="shared" si="352"/>
        <v>4693566.6069718134</v>
      </c>
      <c r="BO82" s="30">
        <f t="shared" si="353"/>
        <v>1354573.151063324</v>
      </c>
      <c r="BP82" s="30">
        <f t="shared" si="354"/>
        <v>2687198.8153236322</v>
      </c>
      <c r="BQ82" s="30">
        <f t="shared" si="355"/>
        <v>999210.83625218831</v>
      </c>
      <c r="BR82" s="36">
        <f t="shared" si="270"/>
        <v>0.3</v>
      </c>
      <c r="BS82" s="36">
        <f t="shared" si="271"/>
        <v>0.25</v>
      </c>
      <c r="BT82" s="36">
        <f t="shared" si="272"/>
        <v>0.2</v>
      </c>
      <c r="BU82" s="36">
        <f t="shared" si="273"/>
        <v>0.2</v>
      </c>
      <c r="BV82" s="36">
        <f t="shared" si="274"/>
        <v>0.2</v>
      </c>
      <c r="BW82" s="36">
        <f t="shared" si="275"/>
        <v>0.2</v>
      </c>
      <c r="BX82" s="36">
        <f t="shared" si="276"/>
        <v>0.2</v>
      </c>
      <c r="BY82" s="36">
        <f t="shared" si="277"/>
        <v>0.2</v>
      </c>
      <c r="BZ82" s="36">
        <f t="shared" si="278"/>
        <v>0.2</v>
      </c>
      <c r="CA82" s="36">
        <f t="shared" si="279"/>
        <v>0.2</v>
      </c>
      <c r="CB82" s="36">
        <f t="shared" si="280"/>
        <v>0.2</v>
      </c>
      <c r="CC82" s="36">
        <f t="shared" si="281"/>
        <v>0.2</v>
      </c>
      <c r="CD82" s="35">
        <f t="shared" si="282"/>
        <v>0.36733462223535374</v>
      </c>
      <c r="CE82" s="35">
        <f t="shared" si="283"/>
        <v>0.36733462223535374</v>
      </c>
      <c r="CF82" s="35">
        <f t="shared" si="284"/>
        <v>0.36733462223535374</v>
      </c>
      <c r="CG82" s="35">
        <f t="shared" si="285"/>
        <v>0.36733462223535374</v>
      </c>
      <c r="CH82" s="28">
        <f t="shared" si="286"/>
        <v>0</v>
      </c>
      <c r="CI82" s="28">
        <f t="shared" si="287"/>
        <v>0</v>
      </c>
      <c r="CJ82" s="28">
        <f t="shared" si="288"/>
        <v>15770.614051978726</v>
      </c>
      <c r="CK82" s="28">
        <f t="shared" si="289"/>
        <v>23888.724528270061</v>
      </c>
      <c r="CL82" s="28">
        <f t="shared" si="290"/>
        <v>32524.842135712403</v>
      </c>
      <c r="CM82" s="28">
        <f t="shared" si="291"/>
        <v>31774.254134624636</v>
      </c>
      <c r="CN82" s="28">
        <f t="shared" si="292"/>
        <v>22669.837945195235</v>
      </c>
      <c r="CO82" s="28">
        <f t="shared" si="293"/>
        <v>15649.069200294354</v>
      </c>
      <c r="CP82" s="28">
        <f t="shared" si="294"/>
        <v>9597.6668244872744</v>
      </c>
      <c r="CQ82" s="28">
        <f t="shared" si="295"/>
        <v>5787.4686637704544</v>
      </c>
      <c r="CR82" s="28">
        <f t="shared" si="296"/>
        <v>3303.6965684894949</v>
      </c>
      <c r="CS82" s="28">
        <f t="shared" si="297"/>
        <v>4270.9585678475605</v>
      </c>
      <c r="CT82" s="44">
        <f t="shared" si="356"/>
        <v>0</v>
      </c>
      <c r="CU82" s="44">
        <f t="shared" si="357"/>
        <v>0</v>
      </c>
      <c r="CV82" s="44">
        <f t="shared" si="358"/>
        <v>3.9498611922227686E-2</v>
      </c>
      <c r="CW82" s="44">
        <f t="shared" si="359"/>
        <v>7.3077736815188032E-2</v>
      </c>
      <c r="CX82" s="44">
        <f t="shared" si="360"/>
        <v>0.12152516523848732</v>
      </c>
      <c r="CY82" s="44">
        <f t="shared" si="361"/>
        <v>0.19001022888041461</v>
      </c>
      <c r="CZ82" s="44">
        <f t="shared" si="362"/>
        <v>0.28431012240938597</v>
      </c>
      <c r="DA82" s="44">
        <f t="shared" si="363"/>
        <v>0.41159937644094802</v>
      </c>
      <c r="DB82" s="44">
        <f t="shared" si="364"/>
        <v>0.52941245851126628</v>
      </c>
      <c r="DC82" s="44">
        <f t="shared" si="365"/>
        <v>0.66951364182314788</v>
      </c>
      <c r="DD82" s="44">
        <f t="shared" si="366"/>
        <v>0.80151789053115829</v>
      </c>
      <c r="DE82" s="44">
        <f t="shared" si="367"/>
        <v>0.93082919390113106</v>
      </c>
      <c r="DF82" s="21">
        <f t="shared" si="298"/>
        <v>0</v>
      </c>
      <c r="DG82" s="21">
        <f t="shared" si="299"/>
        <v>0</v>
      </c>
      <c r="DH82" s="21">
        <f t="shared" si="300"/>
        <v>0</v>
      </c>
      <c r="DI82" s="21">
        <f t="shared" si="301"/>
        <v>0</v>
      </c>
      <c r="DJ82" s="21">
        <f t="shared" si="302"/>
        <v>57712.76689773894</v>
      </c>
      <c r="DK82" s="21">
        <f t="shared" si="303"/>
        <v>63861.746140430427</v>
      </c>
      <c r="DL82" s="21">
        <f t="shared" si="304"/>
        <v>30450.785402344402</v>
      </c>
      <c r="DM82" s="21">
        <f t="shared" si="305"/>
        <v>14519.65202424625</v>
      </c>
      <c r="DN82" s="21">
        <f t="shared" si="306"/>
        <v>6923.312227244578</v>
      </c>
      <c r="DO82" s="21">
        <f t="shared" si="307"/>
        <v>3301.1984113592712</v>
      </c>
      <c r="DP82" s="21">
        <f t="shared" si="308"/>
        <v>1574.0891922049832</v>
      </c>
      <c r="DQ82" s="21">
        <f t="shared" si="309"/>
        <v>1752.2568565540739</v>
      </c>
      <c r="DR82" s="21">
        <f t="shared" si="310"/>
        <v>0</v>
      </c>
      <c r="DS82" s="21">
        <f t="shared" si="311"/>
        <v>5259294.9238533676</v>
      </c>
      <c r="DT82" s="21">
        <f t="shared" si="312"/>
        <v>5380534.1796411211</v>
      </c>
      <c r="DU82" s="21">
        <f t="shared" si="313"/>
        <v>4494545.6484400639</v>
      </c>
      <c r="DV82" s="13">
        <f t="shared" si="314"/>
        <v>0</v>
      </c>
      <c r="DW82" s="13">
        <f t="shared" si="315"/>
        <v>0</v>
      </c>
      <c r="DX82" s="13">
        <f t="shared" si="316"/>
        <v>0</v>
      </c>
      <c r="DY82" s="13">
        <f t="shared" si="317"/>
        <v>0</v>
      </c>
      <c r="DZ82" s="13">
        <f t="shared" si="318"/>
        <v>191553.75220361786</v>
      </c>
      <c r="EA82" s="13">
        <f t="shared" si="319"/>
        <v>308180.31661470642</v>
      </c>
      <c r="EB82" s="13">
        <f t="shared" si="320"/>
        <v>205324.99026288473</v>
      </c>
      <c r="EC82" s="13">
        <f t="shared" si="321"/>
        <v>132823.7056148221</v>
      </c>
      <c r="ED82" s="13">
        <f t="shared" si="322"/>
        <v>76862.731015132013</v>
      </c>
      <c r="EE82" s="13">
        <f t="shared" si="323"/>
        <v>43921.162350412793</v>
      </c>
      <c r="EF82" s="13">
        <f t="shared" si="324"/>
        <v>23907.174213612994</v>
      </c>
      <c r="EG82" s="13">
        <f t="shared" si="325"/>
        <v>29610.46436857506</v>
      </c>
      <c r="EH82" s="13">
        <f t="shared" si="326"/>
        <v>0</v>
      </c>
      <c r="EI82" s="13">
        <f t="shared" si="327"/>
        <v>52592.949238533678</v>
      </c>
      <c r="EJ82" s="13">
        <f t="shared" si="328"/>
        <v>107610.68359282242</v>
      </c>
      <c r="EK82" s="13">
        <f t="shared" si="329"/>
        <v>134836.36945320191</v>
      </c>
      <c r="EL82" s="21">
        <f t="shared" si="368"/>
        <v>1012184.296643764</v>
      </c>
      <c r="EM82" s="21">
        <f t="shared" si="369"/>
        <v>295040.00228455802</v>
      </c>
      <c r="EN82" s="21">
        <f t="shared" si="330"/>
        <v>15182764449.65646</v>
      </c>
      <c r="EO82" s="21">
        <f t="shared" si="331"/>
        <v>6638400051.4025555</v>
      </c>
      <c r="EP82" s="21">
        <f t="shared" si="332"/>
        <v>12930228019.793201</v>
      </c>
      <c r="EQ82" s="21">
        <f t="shared" si="333"/>
        <v>4539324106.9857273</v>
      </c>
      <c r="ER82" s="21">
        <f t="shared" si="334"/>
        <v>248967684.40886986</v>
      </c>
      <c r="ES82" s="21">
        <f t="shared" si="335"/>
        <v>87403331.941834733</v>
      </c>
    </row>
    <row r="83" spans="1:149" x14ac:dyDescent="0.25">
      <c r="O83" s="3">
        <v>81</v>
      </c>
      <c r="P83" s="21">
        <f t="shared" si="380"/>
        <v>450507.28597265156</v>
      </c>
      <c r="Q83" s="21">
        <f t="shared" si="381"/>
        <v>419815.18888336571</v>
      </c>
      <c r="R83" s="13">
        <f t="shared" si="393"/>
        <v>692036.07592660503</v>
      </c>
      <c r="S83" s="13">
        <f t="shared" si="336"/>
        <v>512672.93441553967</v>
      </c>
      <c r="T83" s="13">
        <f t="shared" si="337"/>
        <v>399270.082782374</v>
      </c>
      <c r="U83" s="13">
        <f t="shared" si="338"/>
        <v>326894.69555796293</v>
      </c>
      <c r="V83" s="13">
        <f t="shared" si="339"/>
        <v>267638.74027141597</v>
      </c>
      <c r="W83" s="13">
        <f t="shared" si="340"/>
        <v>167223.91379577442</v>
      </c>
      <c r="X83" s="13">
        <f t="shared" si="341"/>
        <v>79736.302573643872</v>
      </c>
      <c r="Y83" s="13">
        <f t="shared" si="342"/>
        <v>38020.147978842382</v>
      </c>
      <c r="Z83" s="13">
        <f t="shared" si="343"/>
        <v>18128.902465702555</v>
      </c>
      <c r="AA83" s="13">
        <f t="shared" si="344"/>
        <v>8644.2878863578353</v>
      </c>
      <c r="AB83" s="13">
        <f t="shared" si="345"/>
        <v>4121.8001588141542</v>
      </c>
      <c r="AC83" s="13">
        <f t="shared" si="346"/>
        <v>4588.3375766630506</v>
      </c>
      <c r="AD83" s="13">
        <f t="shared" si="347"/>
        <v>47617256.786128826</v>
      </c>
      <c r="AE83" s="13">
        <f t="shared" si="348"/>
        <v>32978657.533331607</v>
      </c>
      <c r="AF83" s="13">
        <f t="shared" si="349"/>
        <v>18515688.396461818</v>
      </c>
      <c r="AG83" s="13">
        <f t="shared" si="350"/>
        <v>15466792.688565154</v>
      </c>
      <c r="AH83" s="21">
        <f t="shared" si="250"/>
        <v>0</v>
      </c>
      <c r="AI83" s="21">
        <f t="shared" si="251"/>
        <v>1538.018803246619</v>
      </c>
      <c r="AJ83" s="21">
        <f t="shared" si="252"/>
        <v>19753.361990285874</v>
      </c>
      <c r="AK83" s="21">
        <f t="shared" si="253"/>
        <v>89397.096743114467</v>
      </c>
      <c r="AL83" s="21">
        <f t="shared" si="254"/>
        <v>154751.53687483034</v>
      </c>
      <c r="AM83" s="21">
        <f t="shared" si="255"/>
        <v>135486.5752090606</v>
      </c>
      <c r="AN83" s="21">
        <f t="shared" si="256"/>
        <v>74691.93227398493</v>
      </c>
      <c r="AO83" s="21">
        <f t="shared" si="257"/>
        <v>37429.835154960354</v>
      </c>
      <c r="AP83" s="21">
        <f t="shared" si="258"/>
        <v>18030.62473128322</v>
      </c>
      <c r="AQ83" s="21">
        <f t="shared" si="259"/>
        <v>8618.3550226987627</v>
      </c>
      <c r="AR83" s="21">
        <f t="shared" si="260"/>
        <v>4121.8001588141542</v>
      </c>
      <c r="AS83" s="21">
        <f t="shared" si="261"/>
        <v>4588.3375766630506</v>
      </c>
      <c r="AT83" s="21">
        <f t="shared" si="262"/>
        <v>0</v>
      </c>
      <c r="AU83" s="21">
        <f t="shared" si="263"/>
        <v>16489328.766665803</v>
      </c>
      <c r="AV83" s="21">
        <f t="shared" si="264"/>
        <v>18515688.396461818</v>
      </c>
      <c r="AW83" s="21">
        <f t="shared" si="265"/>
        <v>15466792.688565154</v>
      </c>
      <c r="AX83" s="13">
        <f t="shared" si="351"/>
        <v>0.2</v>
      </c>
      <c r="AY83" s="13">
        <f t="shared" si="382"/>
        <v>0.6</v>
      </c>
      <c r="AZ83" s="13">
        <f t="shared" si="383"/>
        <v>1.2658</v>
      </c>
      <c r="BA83" s="13">
        <f t="shared" si="384"/>
        <v>2.1566490283455595</v>
      </c>
      <c r="BB83" s="13">
        <f t="shared" si="385"/>
        <v>3.3190880025391074</v>
      </c>
      <c r="BC83" s="13">
        <f t="shared" si="386"/>
        <v>4.8257420950725987</v>
      </c>
      <c r="BD83" s="13">
        <f t="shared" si="387"/>
        <v>6.7428471072238647</v>
      </c>
      <c r="BE83" s="13">
        <f t="shared" si="388"/>
        <v>9.1478573586355481</v>
      </c>
      <c r="BF83" s="13">
        <f t="shared" si="389"/>
        <v>11.102017140389432</v>
      </c>
      <c r="BG83" s="13">
        <f t="shared" si="390"/>
        <v>13.304611500867651</v>
      </c>
      <c r="BH83" s="13">
        <f t="shared" si="391"/>
        <v>15.187941275504606</v>
      </c>
      <c r="BI83" s="13">
        <f t="shared" si="392"/>
        <v>16.898472537188749</v>
      </c>
      <c r="BJ83" s="13">
        <f t="shared" si="266"/>
        <v>4.0000000000000001E-3</v>
      </c>
      <c r="BK83" s="13">
        <f t="shared" si="267"/>
        <v>0.01</v>
      </c>
      <c r="BL83" s="13">
        <f t="shared" si="268"/>
        <v>0.02</v>
      </c>
      <c r="BM83" s="13">
        <f t="shared" si="269"/>
        <v>0.03</v>
      </c>
      <c r="BN83" s="30">
        <f t="shared" si="352"/>
        <v>4693566.6069700085</v>
      </c>
      <c r="BO83" s="30">
        <f t="shared" si="353"/>
        <v>1354573.1510640222</v>
      </c>
      <c r="BP83" s="30">
        <f t="shared" si="354"/>
        <v>2687198.8153221649</v>
      </c>
      <c r="BQ83" s="30">
        <f t="shared" si="355"/>
        <v>999210.83625284885</v>
      </c>
      <c r="BR83" s="36">
        <f t="shared" si="270"/>
        <v>0.3</v>
      </c>
      <c r="BS83" s="36">
        <f t="shared" si="271"/>
        <v>0.25</v>
      </c>
      <c r="BT83" s="36">
        <f t="shared" si="272"/>
        <v>0.2</v>
      </c>
      <c r="BU83" s="36">
        <f t="shared" si="273"/>
        <v>0.2</v>
      </c>
      <c r="BV83" s="36">
        <f t="shared" si="274"/>
        <v>0.2</v>
      </c>
      <c r="BW83" s="36">
        <f t="shared" si="275"/>
        <v>0.2</v>
      </c>
      <c r="BX83" s="36">
        <f t="shared" si="276"/>
        <v>0.2</v>
      </c>
      <c r="BY83" s="36">
        <f t="shared" si="277"/>
        <v>0.2</v>
      </c>
      <c r="BZ83" s="36">
        <f t="shared" si="278"/>
        <v>0.2</v>
      </c>
      <c r="CA83" s="36">
        <f t="shared" si="279"/>
        <v>0.2</v>
      </c>
      <c r="CB83" s="36">
        <f t="shared" si="280"/>
        <v>0.2</v>
      </c>
      <c r="CC83" s="36">
        <f t="shared" si="281"/>
        <v>0.2</v>
      </c>
      <c r="CD83" s="35">
        <f t="shared" si="282"/>
        <v>0.3673346222352688</v>
      </c>
      <c r="CE83" s="35">
        <f t="shared" si="283"/>
        <v>0.3673346222352688</v>
      </c>
      <c r="CF83" s="35">
        <f t="shared" si="284"/>
        <v>0.3673346222352688</v>
      </c>
      <c r="CG83" s="35">
        <f t="shared" si="285"/>
        <v>0.3673346222352688</v>
      </c>
      <c r="CH83" s="28">
        <f t="shared" si="286"/>
        <v>0</v>
      </c>
      <c r="CI83" s="28">
        <f t="shared" si="287"/>
        <v>0</v>
      </c>
      <c r="CJ83" s="28">
        <f t="shared" si="288"/>
        <v>15770.614051985109</v>
      </c>
      <c r="CK83" s="28">
        <f t="shared" si="289"/>
        <v>23888.724528278555</v>
      </c>
      <c r="CL83" s="28">
        <f t="shared" si="290"/>
        <v>32524.842135721738</v>
      </c>
      <c r="CM83" s="28">
        <f t="shared" si="291"/>
        <v>31774.254134630741</v>
      </c>
      <c r="CN83" s="28">
        <f t="shared" si="292"/>
        <v>22669.837945196603</v>
      </c>
      <c r="CO83" s="28">
        <f t="shared" si="293"/>
        <v>15649.069200292426</v>
      </c>
      <c r="CP83" s="28">
        <f t="shared" si="294"/>
        <v>9597.6668244836601</v>
      </c>
      <c r="CQ83" s="28">
        <f t="shared" si="295"/>
        <v>5787.4686637662362</v>
      </c>
      <c r="CR83" s="28">
        <f t="shared" si="296"/>
        <v>3303.6965684854736</v>
      </c>
      <c r="CS83" s="28">
        <f t="shared" si="297"/>
        <v>4270.9585678338117</v>
      </c>
      <c r="CT83" s="44">
        <f t="shared" si="356"/>
        <v>0</v>
      </c>
      <c r="CU83" s="44">
        <f t="shared" si="357"/>
        <v>0</v>
      </c>
      <c r="CV83" s="44">
        <f t="shared" si="358"/>
        <v>3.9498611922248718E-2</v>
      </c>
      <c r="CW83" s="44">
        <f t="shared" si="359"/>
        <v>7.307773681522696E-2</v>
      </c>
      <c r="CX83" s="44">
        <f t="shared" si="360"/>
        <v>0.12152516523855204</v>
      </c>
      <c r="CY83" s="44">
        <f t="shared" si="361"/>
        <v>0.1900102288805158</v>
      </c>
      <c r="CZ83" s="44">
        <f t="shared" si="362"/>
        <v>0.2843101224095374</v>
      </c>
      <c r="DA83" s="44">
        <f t="shared" si="363"/>
        <v>0.41159937644116718</v>
      </c>
      <c r="DB83" s="44">
        <f t="shared" si="364"/>
        <v>0.52941245851154839</v>
      </c>
      <c r="DC83" s="44">
        <f t="shared" si="365"/>
        <v>0.66951364182350426</v>
      </c>
      <c r="DD83" s="44">
        <f t="shared" si="366"/>
        <v>0.80151789053158518</v>
      </c>
      <c r="DE83" s="44">
        <f t="shared" si="367"/>
        <v>0.93082919390162688</v>
      </c>
      <c r="DF83" s="21">
        <f t="shared" si="298"/>
        <v>0</v>
      </c>
      <c r="DG83" s="21">
        <f t="shared" si="299"/>
        <v>0</v>
      </c>
      <c r="DH83" s="21">
        <f t="shared" si="300"/>
        <v>0</v>
      </c>
      <c r="DI83" s="21">
        <f t="shared" si="301"/>
        <v>0</v>
      </c>
      <c r="DJ83" s="21">
        <f t="shared" si="302"/>
        <v>57712.766897724767</v>
      </c>
      <c r="DK83" s="21">
        <f t="shared" si="303"/>
        <v>63861.746140408693</v>
      </c>
      <c r="DL83" s="21">
        <f t="shared" si="304"/>
        <v>30450.785402330021</v>
      </c>
      <c r="DM83" s="21">
        <f t="shared" si="305"/>
        <v>14519.652024236731</v>
      </c>
      <c r="DN83" s="21">
        <f t="shared" si="306"/>
        <v>6923.3122272382834</v>
      </c>
      <c r="DO83" s="21">
        <f t="shared" si="307"/>
        <v>3301.198411355108</v>
      </c>
      <c r="DP83" s="21">
        <f t="shared" si="308"/>
        <v>1574.0891922022288</v>
      </c>
      <c r="DQ83" s="21">
        <f t="shared" si="309"/>
        <v>1752.2568565474996</v>
      </c>
      <c r="DR83" s="21">
        <f t="shared" si="310"/>
        <v>0</v>
      </c>
      <c r="DS83" s="21">
        <f t="shared" si="311"/>
        <v>5259294.9238545075</v>
      </c>
      <c r="DT83" s="21">
        <f t="shared" si="312"/>
        <v>5380534.1796432855</v>
      </c>
      <c r="DU83" s="21">
        <f t="shared" si="313"/>
        <v>4494545.6484450335</v>
      </c>
      <c r="DV83" s="13">
        <f t="shared" si="314"/>
        <v>0</v>
      </c>
      <c r="DW83" s="13">
        <f t="shared" si="315"/>
        <v>0</v>
      </c>
      <c r="DX83" s="13">
        <f t="shared" si="316"/>
        <v>0</v>
      </c>
      <c r="DY83" s="13">
        <f t="shared" si="317"/>
        <v>0</v>
      </c>
      <c r="DZ83" s="13">
        <f t="shared" si="318"/>
        <v>191553.7522035744</v>
      </c>
      <c r="EA83" s="13">
        <f t="shared" si="319"/>
        <v>308180.31661461032</v>
      </c>
      <c r="EB83" s="13">
        <f t="shared" si="320"/>
        <v>205324.99026279568</v>
      </c>
      <c r="EC83" s="13">
        <f t="shared" si="321"/>
        <v>132823.70561474151</v>
      </c>
      <c r="ED83" s="13">
        <f t="shared" si="322"/>
        <v>76862.731015067155</v>
      </c>
      <c r="EE83" s="13">
        <f t="shared" si="323"/>
        <v>43921.162350361185</v>
      </c>
      <c r="EF83" s="13">
        <f t="shared" si="324"/>
        <v>23907.174213573933</v>
      </c>
      <c r="EG83" s="13">
        <f t="shared" si="325"/>
        <v>29610.464368468609</v>
      </c>
      <c r="EH83" s="13">
        <f t="shared" si="326"/>
        <v>0</v>
      </c>
      <c r="EI83" s="13">
        <f t="shared" si="327"/>
        <v>52592.949238545079</v>
      </c>
      <c r="EJ83" s="13">
        <f t="shared" si="328"/>
        <v>107610.68359286571</v>
      </c>
      <c r="EK83" s="13">
        <f t="shared" si="329"/>
        <v>134836.36945335101</v>
      </c>
      <c r="EL83" s="21">
        <f t="shared" si="368"/>
        <v>1012184.2966431929</v>
      </c>
      <c r="EM83" s="21">
        <f t="shared" si="369"/>
        <v>295040.00228476181</v>
      </c>
      <c r="EN83" s="21">
        <f t="shared" si="330"/>
        <v>15182764449.647894</v>
      </c>
      <c r="EO83" s="21">
        <f t="shared" si="331"/>
        <v>6638400051.4071407</v>
      </c>
      <c r="EP83" s="21">
        <f t="shared" si="332"/>
        <v>12930228019.784636</v>
      </c>
      <c r="EQ83" s="21">
        <f t="shared" si="333"/>
        <v>4539324106.9903126</v>
      </c>
      <c r="ER83" s="21">
        <f t="shared" si="334"/>
        <v>236825387.1593678</v>
      </c>
      <c r="ES83" s="21">
        <f t="shared" si="335"/>
        <v>83140621.142560318</v>
      </c>
    </row>
    <row r="84" spans="1:149" x14ac:dyDescent="0.25">
      <c r="O84" s="3">
        <v>82</v>
      </c>
      <c r="P84" s="21">
        <f t="shared" si="380"/>
        <v>450507.28597265156</v>
      </c>
      <c r="Q84" s="21">
        <f t="shared" si="381"/>
        <v>419815.18888336571</v>
      </c>
      <c r="R84" s="13">
        <f t="shared" si="393"/>
        <v>692036.07592657185</v>
      </c>
      <c r="S84" s="13">
        <f t="shared" si="336"/>
        <v>512672.93441550573</v>
      </c>
      <c r="T84" s="13">
        <f t="shared" si="337"/>
        <v>399270.08278233727</v>
      </c>
      <c r="U84" s="13">
        <f t="shared" si="338"/>
        <v>326894.69555792119</v>
      </c>
      <c r="V84" s="13">
        <f t="shared" si="339"/>
        <v>267638.74027136859</v>
      </c>
      <c r="W84" s="13">
        <f t="shared" si="340"/>
        <v>167223.91379573336</v>
      </c>
      <c r="X84" s="13">
        <f t="shared" si="341"/>
        <v>79736.302573616733</v>
      </c>
      <c r="Y84" s="13">
        <f t="shared" si="342"/>
        <v>38020.147978824418</v>
      </c>
      <c r="Z84" s="13">
        <f t="shared" si="343"/>
        <v>18128.902465690669</v>
      </c>
      <c r="AA84" s="13">
        <f t="shared" si="344"/>
        <v>8644.2878863499755</v>
      </c>
      <c r="AB84" s="13">
        <f t="shared" si="345"/>
        <v>4121.8001588089564</v>
      </c>
      <c r="AC84" s="13">
        <f t="shared" si="346"/>
        <v>4588.3375766506415</v>
      </c>
      <c r="AD84" s="13">
        <f t="shared" si="347"/>
        <v>47617256.786130331</v>
      </c>
      <c r="AE84" s="13">
        <f t="shared" si="348"/>
        <v>32978657.53333585</v>
      </c>
      <c r="AF84" s="13">
        <f t="shared" si="349"/>
        <v>18515688.396466695</v>
      </c>
      <c r="AG84" s="13">
        <f t="shared" si="350"/>
        <v>15466792.688577067</v>
      </c>
      <c r="AH84" s="21">
        <f t="shared" si="250"/>
        <v>0</v>
      </c>
      <c r="AI84" s="21">
        <f t="shared" si="251"/>
        <v>1538.0188032465173</v>
      </c>
      <c r="AJ84" s="21">
        <f t="shared" si="252"/>
        <v>19753.361990284058</v>
      </c>
      <c r="AK84" s="21">
        <f t="shared" si="253"/>
        <v>89397.096743103059</v>
      </c>
      <c r="AL84" s="21">
        <f t="shared" si="254"/>
        <v>154751.53687480296</v>
      </c>
      <c r="AM84" s="21">
        <f t="shared" si="255"/>
        <v>135486.57520902733</v>
      </c>
      <c r="AN84" s="21">
        <f t="shared" si="256"/>
        <v>74691.932273959508</v>
      </c>
      <c r="AO84" s="21">
        <f t="shared" si="257"/>
        <v>37429.835154942666</v>
      </c>
      <c r="AP84" s="21">
        <f t="shared" si="258"/>
        <v>18030.624731271397</v>
      </c>
      <c r="AQ84" s="21">
        <f t="shared" si="259"/>
        <v>8618.3550226909265</v>
      </c>
      <c r="AR84" s="21">
        <f t="shared" si="260"/>
        <v>4121.8001588089564</v>
      </c>
      <c r="AS84" s="21">
        <f t="shared" si="261"/>
        <v>4588.3375766506415</v>
      </c>
      <c r="AT84" s="21">
        <f t="shared" si="262"/>
        <v>0</v>
      </c>
      <c r="AU84" s="21">
        <f t="shared" si="263"/>
        <v>16489328.766667925</v>
      </c>
      <c r="AV84" s="21">
        <f t="shared" si="264"/>
        <v>18515688.396466695</v>
      </c>
      <c r="AW84" s="21">
        <f t="shared" si="265"/>
        <v>15466792.688577067</v>
      </c>
      <c r="AX84" s="13">
        <f t="shared" si="351"/>
        <v>0.2</v>
      </c>
      <c r="AY84" s="13">
        <f t="shared" si="382"/>
        <v>0.6</v>
      </c>
      <c r="AZ84" s="13">
        <f t="shared" si="383"/>
        <v>1.2658</v>
      </c>
      <c r="BA84" s="13">
        <f t="shared" si="384"/>
        <v>2.1566490283455741</v>
      </c>
      <c r="BB84" s="13">
        <f t="shared" si="385"/>
        <v>3.3190880025391527</v>
      </c>
      <c r="BC84" s="13">
        <f t="shared" si="386"/>
        <v>4.8257420950726964</v>
      </c>
      <c r="BD84" s="13">
        <f t="shared" si="387"/>
        <v>6.7428471072240512</v>
      </c>
      <c r="BE84" s="13">
        <f t="shared" si="388"/>
        <v>9.1478573586358713</v>
      </c>
      <c r="BF84" s="13">
        <f t="shared" si="389"/>
        <v>11.102017140389957</v>
      </c>
      <c r="BG84" s="13">
        <f t="shared" si="390"/>
        <v>13.304611500868473</v>
      </c>
      <c r="BH84" s="13">
        <f t="shared" si="391"/>
        <v>15.187941275505876</v>
      </c>
      <c r="BI84" s="13">
        <f t="shared" si="392"/>
        <v>16.89847253719066</v>
      </c>
      <c r="BJ84" s="13">
        <f t="shared" si="266"/>
        <v>4.0000000000000001E-3</v>
      </c>
      <c r="BK84" s="13">
        <f t="shared" si="267"/>
        <v>0.01</v>
      </c>
      <c r="BL84" s="13">
        <f t="shared" si="268"/>
        <v>0.02</v>
      </c>
      <c r="BM84" s="13">
        <f t="shared" si="269"/>
        <v>0.03</v>
      </c>
      <c r="BN84" s="30">
        <f t="shared" si="352"/>
        <v>4693566.6069687083</v>
      </c>
      <c r="BO84" s="30">
        <f t="shared" si="353"/>
        <v>1354573.1510645258</v>
      </c>
      <c r="BP84" s="30">
        <f t="shared" si="354"/>
        <v>2687198.8153211079</v>
      </c>
      <c r="BQ84" s="30">
        <f t="shared" si="355"/>
        <v>999210.83625332511</v>
      </c>
      <c r="BR84" s="36">
        <f t="shared" si="270"/>
        <v>0.3</v>
      </c>
      <c r="BS84" s="36">
        <f t="shared" si="271"/>
        <v>0.25</v>
      </c>
      <c r="BT84" s="36">
        <f t="shared" si="272"/>
        <v>0.2</v>
      </c>
      <c r="BU84" s="36">
        <f t="shared" si="273"/>
        <v>0.2</v>
      </c>
      <c r="BV84" s="36">
        <f t="shared" si="274"/>
        <v>0.2</v>
      </c>
      <c r="BW84" s="36">
        <f t="shared" si="275"/>
        <v>0.2</v>
      </c>
      <c r="BX84" s="36">
        <f t="shared" si="276"/>
        <v>0.2</v>
      </c>
      <c r="BY84" s="36">
        <f t="shared" si="277"/>
        <v>0.2</v>
      </c>
      <c r="BZ84" s="36">
        <f t="shared" si="278"/>
        <v>0.2</v>
      </c>
      <c r="CA84" s="36">
        <f t="shared" si="279"/>
        <v>0.2</v>
      </c>
      <c r="CB84" s="36">
        <f t="shared" si="280"/>
        <v>0.2</v>
      </c>
      <c r="CC84" s="36">
        <f t="shared" si="281"/>
        <v>0.2</v>
      </c>
      <c r="CD84" s="35">
        <f t="shared" si="282"/>
        <v>0.36733462223520763</v>
      </c>
      <c r="CE84" s="35">
        <f t="shared" si="283"/>
        <v>0.36733462223520763</v>
      </c>
      <c r="CF84" s="35">
        <f t="shared" si="284"/>
        <v>0.36733462223520763</v>
      </c>
      <c r="CG84" s="35">
        <f t="shared" si="285"/>
        <v>0.36733462223520763</v>
      </c>
      <c r="CH84" s="28">
        <f t="shared" si="286"/>
        <v>0</v>
      </c>
      <c r="CI84" s="28">
        <f t="shared" si="287"/>
        <v>0</v>
      </c>
      <c r="CJ84" s="28">
        <f t="shared" si="288"/>
        <v>15770.614051989709</v>
      </c>
      <c r="CK84" s="28">
        <f t="shared" si="289"/>
        <v>23888.724528284678</v>
      </c>
      <c r="CL84" s="28">
        <f t="shared" si="290"/>
        <v>32524.842135728461</v>
      </c>
      <c r="CM84" s="28">
        <f t="shared" si="291"/>
        <v>31774.254134635139</v>
      </c>
      <c r="CN84" s="28">
        <f t="shared" si="292"/>
        <v>22669.837945197589</v>
      </c>
      <c r="CO84" s="28">
        <f t="shared" si="293"/>
        <v>15649.06920029104</v>
      </c>
      <c r="CP84" s="28">
        <f t="shared" si="294"/>
        <v>9597.6668244810535</v>
      </c>
      <c r="CQ84" s="28">
        <f t="shared" si="295"/>
        <v>5787.4686637631967</v>
      </c>
      <c r="CR84" s="28">
        <f t="shared" si="296"/>
        <v>3303.6965684825755</v>
      </c>
      <c r="CS84" s="28">
        <f t="shared" si="297"/>
        <v>4270.9585678239</v>
      </c>
      <c r="CT84" s="44">
        <f t="shared" si="356"/>
        <v>0</v>
      </c>
      <c r="CU84" s="44">
        <f t="shared" si="357"/>
        <v>0</v>
      </c>
      <c r="CV84" s="44">
        <f t="shared" si="358"/>
        <v>3.9498611922263872E-2</v>
      </c>
      <c r="CW84" s="44">
        <f t="shared" si="359"/>
        <v>7.3077736815255021E-2</v>
      </c>
      <c r="CX84" s="44">
        <f t="shared" si="360"/>
        <v>0.12152516523859867</v>
      </c>
      <c r="CY84" s="44">
        <f t="shared" si="361"/>
        <v>0.19001022888058874</v>
      </c>
      <c r="CZ84" s="44">
        <f t="shared" si="362"/>
        <v>0.28431012240964654</v>
      </c>
      <c r="DA84" s="44">
        <f t="shared" si="363"/>
        <v>0.41159937644132516</v>
      </c>
      <c r="DB84" s="44">
        <f t="shared" si="364"/>
        <v>0.52941245851175167</v>
      </c>
      <c r="DC84" s="44">
        <f t="shared" si="365"/>
        <v>0.66951364182376139</v>
      </c>
      <c r="DD84" s="44">
        <f t="shared" si="366"/>
        <v>0.80151789053189282</v>
      </c>
      <c r="DE84" s="44">
        <f t="shared" si="367"/>
        <v>0.93082919390198415</v>
      </c>
      <c r="DF84" s="21">
        <f t="shared" si="298"/>
        <v>0</v>
      </c>
      <c r="DG84" s="21">
        <f t="shared" si="299"/>
        <v>0</v>
      </c>
      <c r="DH84" s="21">
        <f t="shared" si="300"/>
        <v>0</v>
      </c>
      <c r="DI84" s="21">
        <f t="shared" si="301"/>
        <v>0</v>
      </c>
      <c r="DJ84" s="21">
        <f t="shared" si="302"/>
        <v>57712.766897714544</v>
      </c>
      <c r="DK84" s="21">
        <f t="shared" si="303"/>
        <v>63861.746140393006</v>
      </c>
      <c r="DL84" s="21">
        <f t="shared" si="304"/>
        <v>30450.785402319652</v>
      </c>
      <c r="DM84" s="21">
        <f t="shared" si="305"/>
        <v>14519.65202422987</v>
      </c>
      <c r="DN84" s="21">
        <f t="shared" si="306"/>
        <v>6923.312227233745</v>
      </c>
      <c r="DO84" s="21">
        <f t="shared" si="307"/>
        <v>3301.1984113521066</v>
      </c>
      <c r="DP84" s="21">
        <f t="shared" si="308"/>
        <v>1574.089192200244</v>
      </c>
      <c r="DQ84" s="21">
        <f t="shared" si="309"/>
        <v>1752.2568565427607</v>
      </c>
      <c r="DR84" s="21">
        <f t="shared" si="310"/>
        <v>0</v>
      </c>
      <c r="DS84" s="21">
        <f t="shared" si="311"/>
        <v>5259294.9238553308</v>
      </c>
      <c r="DT84" s="21">
        <f t="shared" si="312"/>
        <v>5380534.1796448464</v>
      </c>
      <c r="DU84" s="21">
        <f t="shared" si="313"/>
        <v>4494545.6484486163</v>
      </c>
      <c r="DV84" s="13">
        <f t="shared" si="314"/>
        <v>0</v>
      </c>
      <c r="DW84" s="13">
        <f t="shared" si="315"/>
        <v>0</v>
      </c>
      <c r="DX84" s="13">
        <f t="shared" si="316"/>
        <v>0</v>
      </c>
      <c r="DY84" s="13">
        <f t="shared" si="317"/>
        <v>0</v>
      </c>
      <c r="DZ84" s="13">
        <f t="shared" si="318"/>
        <v>191553.75220354309</v>
      </c>
      <c r="EA84" s="13">
        <f t="shared" si="319"/>
        <v>308180.31661454082</v>
      </c>
      <c r="EB84" s="13">
        <f t="shared" si="320"/>
        <v>205324.99026273144</v>
      </c>
      <c r="EC84" s="13">
        <f t="shared" si="321"/>
        <v>132823.70561468345</v>
      </c>
      <c r="ED84" s="13">
        <f t="shared" si="322"/>
        <v>76862.731015020414</v>
      </c>
      <c r="EE84" s="13">
        <f t="shared" si="323"/>
        <v>43921.162350323968</v>
      </c>
      <c r="EF84" s="13">
        <f t="shared" si="324"/>
        <v>23907.17421354579</v>
      </c>
      <c r="EG84" s="13">
        <f t="shared" si="325"/>
        <v>29610.464368391877</v>
      </c>
      <c r="EH84" s="13">
        <f t="shared" si="326"/>
        <v>0</v>
      </c>
      <c r="EI84" s="13">
        <f t="shared" si="327"/>
        <v>52592.949238553309</v>
      </c>
      <c r="EJ84" s="13">
        <f t="shared" si="328"/>
        <v>107610.68359289692</v>
      </c>
      <c r="EK84" s="13">
        <f t="shared" si="329"/>
        <v>134836.36945345849</v>
      </c>
      <c r="EL84" s="21">
        <f t="shared" si="368"/>
        <v>1012184.2966427809</v>
      </c>
      <c r="EM84" s="21">
        <f t="shared" si="369"/>
        <v>295040.00228490873</v>
      </c>
      <c r="EN84" s="21">
        <f t="shared" si="330"/>
        <v>15182764449.641714</v>
      </c>
      <c r="EO84" s="21">
        <f t="shared" si="331"/>
        <v>6638400051.4104462</v>
      </c>
      <c r="EP84" s="21">
        <f t="shared" si="332"/>
        <v>12930228019.778456</v>
      </c>
      <c r="EQ84" s="21">
        <f t="shared" si="333"/>
        <v>4539324106.993618</v>
      </c>
      <c r="ER84" s="21">
        <f t="shared" si="334"/>
        <v>225275276.7346566</v>
      </c>
      <c r="ES84" s="21">
        <f t="shared" si="335"/>
        <v>79085805.202127159</v>
      </c>
    </row>
    <row r="85" spans="1:149" x14ac:dyDescent="0.25">
      <c r="O85" s="3">
        <v>83</v>
      </c>
      <c r="P85" s="21">
        <f t="shared" si="380"/>
        <v>450507.28597265156</v>
      </c>
      <c r="Q85" s="21">
        <f t="shared" si="381"/>
        <v>419815.18888336571</v>
      </c>
      <c r="R85" s="13">
        <f t="shared" si="393"/>
        <v>692036.0759265481</v>
      </c>
      <c r="S85" s="13">
        <f t="shared" si="336"/>
        <v>512672.93441548117</v>
      </c>
      <c r="T85" s="13">
        <f t="shared" si="337"/>
        <v>399270.08278231084</v>
      </c>
      <c r="U85" s="13">
        <f t="shared" si="338"/>
        <v>326894.69555789116</v>
      </c>
      <c r="V85" s="13">
        <f t="shared" si="339"/>
        <v>267638.74027133442</v>
      </c>
      <c r="W85" s="13">
        <f t="shared" si="340"/>
        <v>167223.91379570376</v>
      </c>
      <c r="X85" s="13">
        <f t="shared" si="341"/>
        <v>79736.302573597146</v>
      </c>
      <c r="Y85" s="13">
        <f t="shared" si="342"/>
        <v>38020.147978811481</v>
      </c>
      <c r="Z85" s="13">
        <f t="shared" si="343"/>
        <v>18128.902465682102</v>
      </c>
      <c r="AA85" s="13">
        <f t="shared" si="344"/>
        <v>8644.2878863443075</v>
      </c>
      <c r="AB85" s="13">
        <f t="shared" si="345"/>
        <v>4121.8001588052084</v>
      </c>
      <c r="AC85" s="13">
        <f t="shared" si="346"/>
        <v>4588.3375766416975</v>
      </c>
      <c r="AD85" s="13">
        <f t="shared" si="347"/>
        <v>47617256.786131419</v>
      </c>
      <c r="AE85" s="13">
        <f t="shared" si="348"/>
        <v>32978657.533338912</v>
      </c>
      <c r="AF85" s="13">
        <f t="shared" si="349"/>
        <v>18515688.396470211</v>
      </c>
      <c r="AG85" s="13">
        <f t="shared" si="350"/>
        <v>15466792.688585658</v>
      </c>
      <c r="AH85" s="21">
        <f t="shared" si="250"/>
        <v>0</v>
      </c>
      <c r="AI85" s="21">
        <f t="shared" si="251"/>
        <v>1538.0188032464434</v>
      </c>
      <c r="AJ85" s="21">
        <f t="shared" si="252"/>
        <v>19753.361990282749</v>
      </c>
      <c r="AK85" s="21">
        <f t="shared" si="253"/>
        <v>89397.096743094851</v>
      </c>
      <c r="AL85" s="21">
        <f t="shared" si="254"/>
        <v>154751.5368747832</v>
      </c>
      <c r="AM85" s="21">
        <f t="shared" si="255"/>
        <v>135486.57520900335</v>
      </c>
      <c r="AN85" s="21">
        <f t="shared" si="256"/>
        <v>74691.932273941158</v>
      </c>
      <c r="AO85" s="21">
        <f t="shared" si="257"/>
        <v>37429.835154929933</v>
      </c>
      <c r="AP85" s="21">
        <f t="shared" si="258"/>
        <v>18030.624731262877</v>
      </c>
      <c r="AQ85" s="21">
        <f t="shared" si="259"/>
        <v>8618.3550226852749</v>
      </c>
      <c r="AR85" s="21">
        <f t="shared" si="260"/>
        <v>4121.8001588052084</v>
      </c>
      <c r="AS85" s="21">
        <f t="shared" si="261"/>
        <v>4588.3375766416975</v>
      </c>
      <c r="AT85" s="21">
        <f t="shared" si="262"/>
        <v>0</v>
      </c>
      <c r="AU85" s="21">
        <f t="shared" si="263"/>
        <v>16489328.766669456</v>
      </c>
      <c r="AV85" s="21">
        <f t="shared" si="264"/>
        <v>18515688.396470211</v>
      </c>
      <c r="AW85" s="21">
        <f t="shared" si="265"/>
        <v>15466792.688585658</v>
      </c>
      <c r="AX85" s="13">
        <f t="shared" si="351"/>
        <v>0.2</v>
      </c>
      <c r="AY85" s="13">
        <f t="shared" si="382"/>
        <v>0.6</v>
      </c>
      <c r="AZ85" s="13">
        <f t="shared" si="383"/>
        <v>1.2658</v>
      </c>
      <c r="BA85" s="13">
        <f t="shared" si="384"/>
        <v>2.1566490283455848</v>
      </c>
      <c r="BB85" s="13">
        <f t="shared" si="385"/>
        <v>3.3190880025391847</v>
      </c>
      <c r="BC85" s="13">
        <f t="shared" si="386"/>
        <v>4.8257420950727683</v>
      </c>
      <c r="BD85" s="13">
        <f t="shared" si="387"/>
        <v>6.7428471072241845</v>
      </c>
      <c r="BE85" s="13">
        <f t="shared" si="388"/>
        <v>9.1478573586361023</v>
      </c>
      <c r="BF85" s="13">
        <f t="shared" si="389"/>
        <v>11.102017140390336</v>
      </c>
      <c r="BG85" s="13">
        <f t="shared" si="390"/>
        <v>13.304611500869072</v>
      </c>
      <c r="BH85" s="13">
        <f t="shared" si="391"/>
        <v>15.187941275506789</v>
      </c>
      <c r="BI85" s="13">
        <f t="shared" si="392"/>
        <v>16.898472537192042</v>
      </c>
      <c r="BJ85" s="13">
        <f t="shared" si="266"/>
        <v>4.0000000000000001E-3</v>
      </c>
      <c r="BK85" s="13">
        <f t="shared" si="267"/>
        <v>0.01</v>
      </c>
      <c r="BL85" s="13">
        <f t="shared" si="268"/>
        <v>0.02</v>
      </c>
      <c r="BM85" s="13">
        <f t="shared" si="269"/>
        <v>0.03</v>
      </c>
      <c r="BN85" s="30">
        <f t="shared" si="352"/>
        <v>4693566.6069677714</v>
      </c>
      <c r="BO85" s="30">
        <f t="shared" si="353"/>
        <v>1354573.1510648886</v>
      </c>
      <c r="BP85" s="30">
        <f t="shared" si="354"/>
        <v>2687198.8153203451</v>
      </c>
      <c r="BQ85" s="30">
        <f t="shared" si="355"/>
        <v>999210.83625366841</v>
      </c>
      <c r="BR85" s="36">
        <f t="shared" si="270"/>
        <v>0.3</v>
      </c>
      <c r="BS85" s="36">
        <f t="shared" si="271"/>
        <v>0.25</v>
      </c>
      <c r="BT85" s="36">
        <f t="shared" si="272"/>
        <v>0.2</v>
      </c>
      <c r="BU85" s="36">
        <f t="shared" si="273"/>
        <v>0.2</v>
      </c>
      <c r="BV85" s="36">
        <f t="shared" si="274"/>
        <v>0.2</v>
      </c>
      <c r="BW85" s="36">
        <f t="shared" si="275"/>
        <v>0.2</v>
      </c>
      <c r="BX85" s="36">
        <f t="shared" si="276"/>
        <v>0.2</v>
      </c>
      <c r="BY85" s="36">
        <f t="shared" si="277"/>
        <v>0.2</v>
      </c>
      <c r="BZ85" s="36">
        <f t="shared" si="278"/>
        <v>0.2</v>
      </c>
      <c r="CA85" s="36">
        <f t="shared" si="279"/>
        <v>0.2</v>
      </c>
      <c r="CB85" s="36">
        <f t="shared" si="280"/>
        <v>0.2</v>
      </c>
      <c r="CC85" s="36">
        <f t="shared" si="281"/>
        <v>0.2</v>
      </c>
      <c r="CD85" s="35">
        <f t="shared" si="282"/>
        <v>0.36733462223516355</v>
      </c>
      <c r="CE85" s="35">
        <f t="shared" si="283"/>
        <v>0.36733462223516355</v>
      </c>
      <c r="CF85" s="35">
        <f t="shared" si="284"/>
        <v>0.36733462223516355</v>
      </c>
      <c r="CG85" s="35">
        <f t="shared" si="285"/>
        <v>0.36733462223516355</v>
      </c>
      <c r="CH85" s="28">
        <f t="shared" si="286"/>
        <v>0</v>
      </c>
      <c r="CI85" s="28">
        <f t="shared" si="287"/>
        <v>0</v>
      </c>
      <c r="CJ85" s="28">
        <f t="shared" si="288"/>
        <v>15770.614051993034</v>
      </c>
      <c r="CK85" s="28">
        <f t="shared" si="289"/>
        <v>23888.724528289094</v>
      </c>
      <c r="CL85" s="28">
        <f t="shared" si="290"/>
        <v>32524.842135733314</v>
      </c>
      <c r="CM85" s="28">
        <f t="shared" si="291"/>
        <v>31774.254134638311</v>
      </c>
      <c r="CN85" s="28">
        <f t="shared" si="292"/>
        <v>22669.837945198295</v>
      </c>
      <c r="CO85" s="28">
        <f t="shared" si="293"/>
        <v>15649.069200290043</v>
      </c>
      <c r="CP85" s="28">
        <f t="shared" si="294"/>
        <v>9597.6668244791745</v>
      </c>
      <c r="CQ85" s="28">
        <f t="shared" si="295"/>
        <v>5787.4686637610039</v>
      </c>
      <c r="CR85" s="28">
        <f t="shared" si="296"/>
        <v>3303.6965684804854</v>
      </c>
      <c r="CS85" s="28">
        <f t="shared" si="297"/>
        <v>4270.9585678167568</v>
      </c>
      <c r="CT85" s="44">
        <f t="shared" si="356"/>
        <v>0</v>
      </c>
      <c r="CU85" s="44">
        <f t="shared" si="357"/>
        <v>0</v>
      </c>
      <c r="CV85" s="44">
        <f t="shared" si="358"/>
        <v>3.9498611922274815E-2</v>
      </c>
      <c r="CW85" s="44">
        <f t="shared" si="359"/>
        <v>7.307773681527524E-2</v>
      </c>
      <c r="CX85" s="44">
        <f t="shared" si="360"/>
        <v>0.12152516523863233</v>
      </c>
      <c r="CY85" s="44">
        <f t="shared" si="361"/>
        <v>0.19001022888064137</v>
      </c>
      <c r="CZ85" s="44">
        <f t="shared" si="362"/>
        <v>0.28431012240972525</v>
      </c>
      <c r="DA85" s="44">
        <f t="shared" si="363"/>
        <v>0.41159937644143901</v>
      </c>
      <c r="DB85" s="44">
        <f t="shared" si="364"/>
        <v>0.52941245851189822</v>
      </c>
      <c r="DC85" s="44">
        <f t="shared" si="365"/>
        <v>0.66951364182394668</v>
      </c>
      <c r="DD85" s="44">
        <f t="shared" si="366"/>
        <v>0.80151789053211453</v>
      </c>
      <c r="DE85" s="44">
        <f t="shared" si="367"/>
        <v>0.93082919390224184</v>
      </c>
      <c r="DF85" s="21">
        <f t="shared" si="298"/>
        <v>0</v>
      </c>
      <c r="DG85" s="21">
        <f t="shared" si="299"/>
        <v>0</v>
      </c>
      <c r="DH85" s="21">
        <f t="shared" si="300"/>
        <v>0</v>
      </c>
      <c r="DI85" s="21">
        <f t="shared" si="301"/>
        <v>0</v>
      </c>
      <c r="DJ85" s="21">
        <f t="shared" si="302"/>
        <v>57712.766897707173</v>
      </c>
      <c r="DK85" s="21">
        <f t="shared" si="303"/>
        <v>63861.746140381707</v>
      </c>
      <c r="DL85" s="21">
        <f t="shared" si="304"/>
        <v>30450.785402312173</v>
      </c>
      <c r="DM85" s="21">
        <f t="shared" si="305"/>
        <v>14519.65202422493</v>
      </c>
      <c r="DN85" s="21">
        <f t="shared" si="306"/>
        <v>6923.3122272304727</v>
      </c>
      <c r="DO85" s="21">
        <f t="shared" si="307"/>
        <v>3301.198411349942</v>
      </c>
      <c r="DP85" s="21">
        <f t="shared" si="308"/>
        <v>1574.0891921988127</v>
      </c>
      <c r="DQ85" s="21">
        <f t="shared" si="309"/>
        <v>1752.2568565393449</v>
      </c>
      <c r="DR85" s="21">
        <f t="shared" si="310"/>
        <v>0</v>
      </c>
      <c r="DS85" s="21">
        <f t="shared" si="311"/>
        <v>5259294.9238559231</v>
      </c>
      <c r="DT85" s="21">
        <f t="shared" si="312"/>
        <v>5380534.1796459714</v>
      </c>
      <c r="DU85" s="21">
        <f t="shared" si="313"/>
        <v>4494545.6484511979</v>
      </c>
      <c r="DV85" s="13">
        <f t="shared" si="314"/>
        <v>0</v>
      </c>
      <c r="DW85" s="13">
        <f t="shared" si="315"/>
        <v>0</v>
      </c>
      <c r="DX85" s="13">
        <f t="shared" si="316"/>
        <v>0</v>
      </c>
      <c r="DY85" s="13">
        <f t="shared" si="317"/>
        <v>0</v>
      </c>
      <c r="DZ85" s="13">
        <f t="shared" si="318"/>
        <v>191553.75220352047</v>
      </c>
      <c r="EA85" s="13">
        <f t="shared" si="319"/>
        <v>308180.31661449088</v>
      </c>
      <c r="EB85" s="13">
        <f t="shared" si="320"/>
        <v>205324.99026268505</v>
      </c>
      <c r="EC85" s="13">
        <f t="shared" si="321"/>
        <v>132823.7056146416</v>
      </c>
      <c r="ED85" s="13">
        <f t="shared" si="322"/>
        <v>76862.731014986697</v>
      </c>
      <c r="EE85" s="13">
        <f t="shared" si="323"/>
        <v>43921.162350297149</v>
      </c>
      <c r="EF85" s="13">
        <f t="shared" si="324"/>
        <v>23907.174213525486</v>
      </c>
      <c r="EG85" s="13">
        <f t="shared" si="325"/>
        <v>29610.464368336576</v>
      </c>
      <c r="EH85" s="13">
        <f t="shared" si="326"/>
        <v>0</v>
      </c>
      <c r="EI85" s="13">
        <f t="shared" si="327"/>
        <v>52592.949238559231</v>
      </c>
      <c r="EJ85" s="13">
        <f t="shared" si="328"/>
        <v>107610.68359291943</v>
      </c>
      <c r="EK85" s="13">
        <f t="shared" si="329"/>
        <v>134836.36945353594</v>
      </c>
      <c r="EL85" s="21">
        <f t="shared" si="368"/>
        <v>1012184.296642484</v>
      </c>
      <c r="EM85" s="21">
        <f t="shared" si="369"/>
        <v>295040.00228501461</v>
      </c>
      <c r="EN85" s="21">
        <f t="shared" si="330"/>
        <v>15182764449.63726</v>
      </c>
      <c r="EO85" s="21">
        <f t="shared" si="331"/>
        <v>6638400051.4128284</v>
      </c>
      <c r="EP85" s="21">
        <f t="shared" si="332"/>
        <v>12930228019.774002</v>
      </c>
      <c r="EQ85" s="21">
        <f t="shared" si="333"/>
        <v>4539324106.9960003</v>
      </c>
      <c r="ER85" s="21">
        <f t="shared" si="334"/>
        <v>214288471.84247252</v>
      </c>
      <c r="ES85" s="21">
        <f t="shared" si="335"/>
        <v>75228744.968634412</v>
      </c>
    </row>
    <row r="86" spans="1:149" x14ac:dyDescent="0.25">
      <c r="O86" s="3">
        <v>84</v>
      </c>
      <c r="P86" s="21">
        <f t="shared" si="380"/>
        <v>450507.28597265156</v>
      </c>
      <c r="Q86" s="21">
        <f t="shared" si="381"/>
        <v>419815.18888336571</v>
      </c>
      <c r="R86" s="13">
        <f t="shared" si="393"/>
        <v>692036.07592653087</v>
      </c>
      <c r="S86" s="13">
        <f t="shared" si="336"/>
        <v>512672.93441546359</v>
      </c>
      <c r="T86" s="13">
        <f t="shared" si="337"/>
        <v>399270.08278229175</v>
      </c>
      <c r="U86" s="13">
        <f t="shared" si="338"/>
        <v>326894.69555786951</v>
      </c>
      <c r="V86" s="13">
        <f t="shared" si="339"/>
        <v>267638.7402713098</v>
      </c>
      <c r="W86" s="13">
        <f t="shared" si="340"/>
        <v>167223.91379568243</v>
      </c>
      <c r="X86" s="13">
        <f t="shared" si="341"/>
        <v>79736.302573583031</v>
      </c>
      <c r="Y86" s="13">
        <f t="shared" si="342"/>
        <v>38020.147978802139</v>
      </c>
      <c r="Z86" s="13">
        <f t="shared" si="343"/>
        <v>18128.902465675936</v>
      </c>
      <c r="AA86" s="13">
        <f t="shared" si="344"/>
        <v>8644.287886340222</v>
      </c>
      <c r="AB86" s="13">
        <f t="shared" si="345"/>
        <v>4121.8001588025054</v>
      </c>
      <c r="AC86" s="13">
        <f t="shared" si="346"/>
        <v>4588.337576635251</v>
      </c>
      <c r="AD86" s="13">
        <f t="shared" si="347"/>
        <v>47617256.786132187</v>
      </c>
      <c r="AE86" s="13">
        <f t="shared" si="348"/>
        <v>32978657.533341117</v>
      </c>
      <c r="AF86" s="13">
        <f t="shared" si="349"/>
        <v>18515688.396472745</v>
      </c>
      <c r="AG86" s="13">
        <f t="shared" si="350"/>
        <v>15466792.688591849</v>
      </c>
      <c r="AH86" s="21">
        <f t="shared" si="250"/>
        <v>0</v>
      </c>
      <c r="AI86" s="21">
        <f t="shared" si="251"/>
        <v>1538.0188032463909</v>
      </c>
      <c r="AJ86" s="21">
        <f t="shared" si="252"/>
        <v>19753.361990281806</v>
      </c>
      <c r="AK86" s="21">
        <f t="shared" si="253"/>
        <v>89397.096743088929</v>
      </c>
      <c r="AL86" s="21">
        <f t="shared" si="254"/>
        <v>154751.53687476896</v>
      </c>
      <c r="AM86" s="21">
        <f t="shared" si="255"/>
        <v>135486.57520898606</v>
      </c>
      <c r="AN86" s="21">
        <f t="shared" si="256"/>
        <v>74691.932273927945</v>
      </c>
      <c r="AO86" s="21">
        <f t="shared" si="257"/>
        <v>37429.835154920736</v>
      </c>
      <c r="AP86" s="21">
        <f t="shared" si="258"/>
        <v>18030.624731256743</v>
      </c>
      <c r="AQ86" s="21">
        <f t="shared" si="259"/>
        <v>8618.3550226812022</v>
      </c>
      <c r="AR86" s="21">
        <f t="shared" si="260"/>
        <v>4121.8001588025054</v>
      </c>
      <c r="AS86" s="21">
        <f t="shared" si="261"/>
        <v>4588.337576635251</v>
      </c>
      <c r="AT86" s="21">
        <f t="shared" si="262"/>
        <v>0</v>
      </c>
      <c r="AU86" s="21">
        <f t="shared" si="263"/>
        <v>16489328.766670559</v>
      </c>
      <c r="AV86" s="21">
        <f t="shared" si="264"/>
        <v>18515688.396472745</v>
      </c>
      <c r="AW86" s="21">
        <f t="shared" si="265"/>
        <v>15466792.688591849</v>
      </c>
      <c r="AX86" s="13">
        <f t="shared" si="351"/>
        <v>0.2</v>
      </c>
      <c r="AY86" s="13">
        <f t="shared" si="382"/>
        <v>0.6</v>
      </c>
      <c r="AZ86" s="13">
        <f t="shared" si="383"/>
        <v>1.2658</v>
      </c>
      <c r="BA86" s="13">
        <f t="shared" si="384"/>
        <v>2.1566490283455924</v>
      </c>
      <c r="BB86" s="13">
        <f t="shared" si="385"/>
        <v>3.3190880025392082</v>
      </c>
      <c r="BC86" s="13">
        <f t="shared" si="386"/>
        <v>4.8257420950728189</v>
      </c>
      <c r="BD86" s="13">
        <f t="shared" si="387"/>
        <v>6.7428471072242822</v>
      </c>
      <c r="BE86" s="13">
        <f t="shared" si="388"/>
        <v>9.1478573586362693</v>
      </c>
      <c r="BF86" s="13">
        <f t="shared" si="389"/>
        <v>11.102017140390606</v>
      </c>
      <c r="BG86" s="13">
        <f t="shared" si="390"/>
        <v>13.3046115008695</v>
      </c>
      <c r="BH86" s="13">
        <f t="shared" si="391"/>
        <v>15.187941275507452</v>
      </c>
      <c r="BI86" s="13">
        <f t="shared" si="392"/>
        <v>16.898472537193026</v>
      </c>
      <c r="BJ86" s="13">
        <f t="shared" si="266"/>
        <v>4.0000000000000001E-3</v>
      </c>
      <c r="BK86" s="13">
        <f t="shared" si="267"/>
        <v>0.01</v>
      </c>
      <c r="BL86" s="13">
        <f t="shared" si="268"/>
        <v>0.02</v>
      </c>
      <c r="BM86" s="13">
        <f t="shared" si="269"/>
        <v>0.03</v>
      </c>
      <c r="BN86" s="30">
        <f t="shared" si="352"/>
        <v>4693566.6069670934</v>
      </c>
      <c r="BO86" s="30">
        <f t="shared" si="353"/>
        <v>1354573.1510651503</v>
      </c>
      <c r="BP86" s="30">
        <f t="shared" si="354"/>
        <v>2687198.8153197956</v>
      </c>
      <c r="BQ86" s="30">
        <f t="shared" si="355"/>
        <v>999210.83625391591</v>
      </c>
      <c r="BR86" s="36">
        <f t="shared" si="270"/>
        <v>0.3</v>
      </c>
      <c r="BS86" s="36">
        <f t="shared" si="271"/>
        <v>0.25</v>
      </c>
      <c r="BT86" s="36">
        <f t="shared" si="272"/>
        <v>0.2</v>
      </c>
      <c r="BU86" s="36">
        <f t="shared" si="273"/>
        <v>0.2</v>
      </c>
      <c r="BV86" s="36">
        <f t="shared" si="274"/>
        <v>0.2</v>
      </c>
      <c r="BW86" s="36">
        <f t="shared" si="275"/>
        <v>0.2</v>
      </c>
      <c r="BX86" s="36">
        <f t="shared" si="276"/>
        <v>0.2</v>
      </c>
      <c r="BY86" s="36">
        <f t="shared" si="277"/>
        <v>0.2</v>
      </c>
      <c r="BZ86" s="36">
        <f t="shared" si="278"/>
        <v>0.2</v>
      </c>
      <c r="CA86" s="36">
        <f t="shared" si="279"/>
        <v>0.2</v>
      </c>
      <c r="CB86" s="36">
        <f t="shared" si="280"/>
        <v>0.2</v>
      </c>
      <c r="CC86" s="36">
        <f t="shared" si="281"/>
        <v>0.2</v>
      </c>
      <c r="CD86" s="35">
        <f t="shared" si="282"/>
        <v>0.36733462223513169</v>
      </c>
      <c r="CE86" s="35">
        <f t="shared" si="283"/>
        <v>0.36733462223513169</v>
      </c>
      <c r="CF86" s="35">
        <f t="shared" si="284"/>
        <v>0.36733462223513169</v>
      </c>
      <c r="CG86" s="35">
        <f t="shared" si="285"/>
        <v>0.36733462223513169</v>
      </c>
      <c r="CH86" s="28">
        <f t="shared" si="286"/>
        <v>0</v>
      </c>
      <c r="CI86" s="28">
        <f t="shared" si="287"/>
        <v>0</v>
      </c>
      <c r="CJ86" s="28">
        <f t="shared" si="288"/>
        <v>15770.614051995428</v>
      </c>
      <c r="CK86" s="28">
        <f t="shared" si="289"/>
        <v>23888.724528292274</v>
      </c>
      <c r="CL86" s="28">
        <f t="shared" si="290"/>
        <v>32524.842135736813</v>
      </c>
      <c r="CM86" s="28">
        <f t="shared" si="291"/>
        <v>31774.254134640585</v>
      </c>
      <c r="CN86" s="28">
        <f t="shared" si="292"/>
        <v>22669.837945198804</v>
      </c>
      <c r="CO86" s="28">
        <f t="shared" si="293"/>
        <v>15649.069200289323</v>
      </c>
      <c r="CP86" s="28">
        <f t="shared" si="294"/>
        <v>9597.666824477823</v>
      </c>
      <c r="CQ86" s="28">
        <f t="shared" si="295"/>
        <v>5787.4686637594232</v>
      </c>
      <c r="CR86" s="28">
        <f t="shared" si="296"/>
        <v>3303.6965684789789</v>
      </c>
      <c r="CS86" s="28">
        <f t="shared" si="297"/>
        <v>4270.9585678116082</v>
      </c>
      <c r="CT86" s="44">
        <f t="shared" si="356"/>
        <v>0</v>
      </c>
      <c r="CU86" s="44">
        <f t="shared" si="357"/>
        <v>0</v>
      </c>
      <c r="CV86" s="44">
        <f t="shared" si="358"/>
        <v>3.9498611922282698E-2</v>
      </c>
      <c r="CW86" s="44">
        <f t="shared" si="359"/>
        <v>7.3077736815289812E-2</v>
      </c>
      <c r="CX86" s="44">
        <f t="shared" si="360"/>
        <v>0.12152516523865657</v>
      </c>
      <c r="CY86" s="44">
        <f t="shared" si="361"/>
        <v>0.1900102288806792</v>
      </c>
      <c r="CZ86" s="44">
        <f t="shared" si="362"/>
        <v>0.28431012240978198</v>
      </c>
      <c r="DA86" s="44">
        <f t="shared" si="363"/>
        <v>0.41159937644152123</v>
      </c>
      <c r="DB86" s="44">
        <f t="shared" si="364"/>
        <v>0.52941245851200369</v>
      </c>
      <c r="DC86" s="44">
        <f t="shared" si="365"/>
        <v>0.66951364182408024</v>
      </c>
      <c r="DD86" s="44">
        <f t="shared" si="366"/>
        <v>0.80151789053227462</v>
      </c>
      <c r="DE86" s="44">
        <f t="shared" si="367"/>
        <v>0.93082919390242747</v>
      </c>
      <c r="DF86" s="21">
        <f t="shared" si="298"/>
        <v>0</v>
      </c>
      <c r="DG86" s="21">
        <f t="shared" si="299"/>
        <v>0</v>
      </c>
      <c r="DH86" s="21">
        <f t="shared" si="300"/>
        <v>0</v>
      </c>
      <c r="DI86" s="21">
        <f t="shared" si="301"/>
        <v>0</v>
      </c>
      <c r="DJ86" s="21">
        <f t="shared" si="302"/>
        <v>57712.766897701869</v>
      </c>
      <c r="DK86" s="21">
        <f t="shared" si="303"/>
        <v>63861.746140373558</v>
      </c>
      <c r="DL86" s="21">
        <f t="shared" si="304"/>
        <v>30450.785402306785</v>
      </c>
      <c r="DM86" s="21">
        <f t="shared" si="305"/>
        <v>14519.652024221363</v>
      </c>
      <c r="DN86" s="21">
        <f t="shared" si="306"/>
        <v>6923.312227228118</v>
      </c>
      <c r="DO86" s="21">
        <f t="shared" si="307"/>
        <v>3301.1984113483818</v>
      </c>
      <c r="DP86" s="21">
        <f t="shared" si="308"/>
        <v>1574.0891921977804</v>
      </c>
      <c r="DQ86" s="21">
        <f t="shared" si="309"/>
        <v>1752.2568565368829</v>
      </c>
      <c r="DR86" s="21">
        <f t="shared" si="310"/>
        <v>0</v>
      </c>
      <c r="DS86" s="21">
        <f t="shared" si="311"/>
        <v>5259294.9238563506</v>
      </c>
      <c r="DT86" s="21">
        <f t="shared" si="312"/>
        <v>5380534.1796467816</v>
      </c>
      <c r="DU86" s="21">
        <f t="shared" si="313"/>
        <v>4494545.6484530596</v>
      </c>
      <c r="DV86" s="13">
        <f t="shared" si="314"/>
        <v>0</v>
      </c>
      <c r="DW86" s="13">
        <f t="shared" si="315"/>
        <v>0</v>
      </c>
      <c r="DX86" s="13">
        <f t="shared" si="316"/>
        <v>0</v>
      </c>
      <c r="DY86" s="13">
        <f t="shared" si="317"/>
        <v>0</v>
      </c>
      <c r="DZ86" s="13">
        <f t="shared" si="318"/>
        <v>191553.75220350423</v>
      </c>
      <c r="EA86" s="13">
        <f t="shared" si="319"/>
        <v>308180.31661445479</v>
      </c>
      <c r="EB86" s="13">
        <f t="shared" si="320"/>
        <v>205324.9902626517</v>
      </c>
      <c r="EC86" s="13">
        <f t="shared" si="321"/>
        <v>132823.70561461139</v>
      </c>
      <c r="ED86" s="13">
        <f t="shared" si="322"/>
        <v>76862.731014962425</v>
      </c>
      <c r="EE86" s="13">
        <f t="shared" si="323"/>
        <v>43921.162350277802</v>
      </c>
      <c r="EF86" s="13">
        <f t="shared" si="324"/>
        <v>23907.174213510851</v>
      </c>
      <c r="EG86" s="13">
        <f t="shared" si="325"/>
        <v>29610.464368296696</v>
      </c>
      <c r="EH86" s="13">
        <f t="shared" si="326"/>
        <v>0</v>
      </c>
      <c r="EI86" s="13">
        <f t="shared" si="327"/>
        <v>52592.949238563509</v>
      </c>
      <c r="EJ86" s="13">
        <f t="shared" si="328"/>
        <v>107610.68359293563</v>
      </c>
      <c r="EK86" s="13">
        <f t="shared" si="329"/>
        <v>134836.36945359179</v>
      </c>
      <c r="EL86" s="21">
        <f t="shared" si="368"/>
        <v>1012184.2966422698</v>
      </c>
      <c r="EM86" s="21">
        <f t="shared" si="369"/>
        <v>295040.00228509097</v>
      </c>
      <c r="EN86" s="21">
        <f t="shared" si="330"/>
        <v>15182764449.634047</v>
      </c>
      <c r="EO86" s="21">
        <f t="shared" si="331"/>
        <v>6638400051.414547</v>
      </c>
      <c r="EP86" s="21">
        <f t="shared" si="332"/>
        <v>12930228019.770788</v>
      </c>
      <c r="EQ86" s="21">
        <f t="shared" si="333"/>
        <v>4539324106.9977188</v>
      </c>
      <c r="ER86" s="21">
        <f t="shared" si="334"/>
        <v>203837499.74780199</v>
      </c>
      <c r="ES86" s="21">
        <f t="shared" si="335"/>
        <v>71559795.782452211</v>
      </c>
    </row>
    <row r="87" spans="1:149" x14ac:dyDescent="0.25">
      <c r="O87" s="3">
        <v>85</v>
      </c>
      <c r="P87" s="21">
        <f t="shared" si="380"/>
        <v>450507.28597265156</v>
      </c>
      <c r="Q87" s="21">
        <f t="shared" si="381"/>
        <v>419815.18888336571</v>
      </c>
      <c r="R87" s="13">
        <f t="shared" si="393"/>
        <v>692036.07592651853</v>
      </c>
      <c r="S87" s="13">
        <f t="shared" si="336"/>
        <v>512672.93441545084</v>
      </c>
      <c r="T87" s="13">
        <f t="shared" si="337"/>
        <v>399270.08278227801</v>
      </c>
      <c r="U87" s="13">
        <f t="shared" si="338"/>
        <v>326894.69555785385</v>
      </c>
      <c r="V87" s="13">
        <f t="shared" si="339"/>
        <v>267638.7402712921</v>
      </c>
      <c r="W87" s="13">
        <f t="shared" si="340"/>
        <v>167223.91379566703</v>
      </c>
      <c r="X87" s="13">
        <f t="shared" si="341"/>
        <v>79736.302573572859</v>
      </c>
      <c r="Y87" s="13">
        <f t="shared" si="342"/>
        <v>38020.147978795409</v>
      </c>
      <c r="Z87" s="13">
        <f t="shared" si="343"/>
        <v>18128.902465671479</v>
      </c>
      <c r="AA87" s="13">
        <f t="shared" si="344"/>
        <v>8644.2878863372825</v>
      </c>
      <c r="AB87" s="13">
        <f t="shared" si="345"/>
        <v>4121.8001588005573</v>
      </c>
      <c r="AC87" s="13">
        <f t="shared" si="346"/>
        <v>4588.3375766306026</v>
      </c>
      <c r="AD87" s="13">
        <f t="shared" si="347"/>
        <v>47617256.786132753</v>
      </c>
      <c r="AE87" s="13">
        <f t="shared" si="348"/>
        <v>32978657.5333427</v>
      </c>
      <c r="AF87" s="13">
        <f t="shared" si="349"/>
        <v>18515688.396474574</v>
      </c>
      <c r="AG87" s="13">
        <f t="shared" si="350"/>
        <v>15466792.688596312</v>
      </c>
      <c r="AH87" s="21">
        <f t="shared" si="250"/>
        <v>0</v>
      </c>
      <c r="AI87" s="21">
        <f t="shared" si="251"/>
        <v>1538.0188032463525</v>
      </c>
      <c r="AJ87" s="21">
        <f t="shared" si="252"/>
        <v>19753.361990281126</v>
      </c>
      <c r="AK87" s="21">
        <f t="shared" si="253"/>
        <v>89397.09674308465</v>
      </c>
      <c r="AL87" s="21">
        <f t="shared" si="254"/>
        <v>154751.53687475872</v>
      </c>
      <c r="AM87" s="21">
        <f t="shared" si="255"/>
        <v>135486.57520897358</v>
      </c>
      <c r="AN87" s="21">
        <f t="shared" si="256"/>
        <v>74691.932273918414</v>
      </c>
      <c r="AO87" s="21">
        <f t="shared" si="257"/>
        <v>37429.835154914108</v>
      </c>
      <c r="AP87" s="21">
        <f t="shared" si="258"/>
        <v>18030.624731252312</v>
      </c>
      <c r="AQ87" s="21">
        <f t="shared" si="259"/>
        <v>8618.3550226782718</v>
      </c>
      <c r="AR87" s="21">
        <f t="shared" si="260"/>
        <v>4121.8001588005573</v>
      </c>
      <c r="AS87" s="21">
        <f t="shared" si="261"/>
        <v>4588.3375766306026</v>
      </c>
      <c r="AT87" s="21">
        <f t="shared" si="262"/>
        <v>0</v>
      </c>
      <c r="AU87" s="21">
        <f t="shared" si="263"/>
        <v>16489328.76667135</v>
      </c>
      <c r="AV87" s="21">
        <f t="shared" si="264"/>
        <v>18515688.396474574</v>
      </c>
      <c r="AW87" s="21">
        <f t="shared" si="265"/>
        <v>15466792.688596312</v>
      </c>
      <c r="AX87" s="13">
        <f t="shared" si="351"/>
        <v>0.2</v>
      </c>
      <c r="AY87" s="13">
        <f t="shared" si="382"/>
        <v>0.6</v>
      </c>
      <c r="AZ87" s="13">
        <f t="shared" si="383"/>
        <v>1.2658</v>
      </c>
      <c r="BA87" s="13">
        <f t="shared" si="384"/>
        <v>2.1566490283455977</v>
      </c>
      <c r="BB87" s="13">
        <f t="shared" si="385"/>
        <v>3.3190880025392251</v>
      </c>
      <c r="BC87" s="13">
        <f t="shared" si="386"/>
        <v>4.8257420950728553</v>
      </c>
      <c r="BD87" s="13">
        <f t="shared" si="387"/>
        <v>6.7428471072243514</v>
      </c>
      <c r="BE87" s="13">
        <f t="shared" si="388"/>
        <v>9.14785735863639</v>
      </c>
      <c r="BF87" s="13">
        <f t="shared" si="389"/>
        <v>11.102017140390801</v>
      </c>
      <c r="BG87" s="13">
        <f t="shared" si="390"/>
        <v>13.304611500869807</v>
      </c>
      <c r="BH87" s="13">
        <f t="shared" si="391"/>
        <v>15.187941275507928</v>
      </c>
      <c r="BI87" s="13">
        <f t="shared" si="392"/>
        <v>16.898472537193747</v>
      </c>
      <c r="BJ87" s="13">
        <f t="shared" si="266"/>
        <v>4.0000000000000001E-3</v>
      </c>
      <c r="BK87" s="13">
        <f t="shared" si="267"/>
        <v>0.01</v>
      </c>
      <c r="BL87" s="13">
        <f t="shared" si="268"/>
        <v>0.02</v>
      </c>
      <c r="BM87" s="13">
        <f t="shared" si="269"/>
        <v>0.03</v>
      </c>
      <c r="BN87" s="30">
        <f t="shared" si="352"/>
        <v>4693566.6069666091</v>
      </c>
      <c r="BO87" s="30">
        <f t="shared" si="353"/>
        <v>1354573.1510653389</v>
      </c>
      <c r="BP87" s="30">
        <f t="shared" si="354"/>
        <v>2687198.8153193989</v>
      </c>
      <c r="BQ87" s="30">
        <f t="shared" si="355"/>
        <v>999210.83625409426</v>
      </c>
      <c r="BR87" s="36">
        <f t="shared" si="270"/>
        <v>0.3</v>
      </c>
      <c r="BS87" s="36">
        <f t="shared" si="271"/>
        <v>0.25</v>
      </c>
      <c r="BT87" s="36">
        <f t="shared" si="272"/>
        <v>0.2</v>
      </c>
      <c r="BU87" s="36">
        <f t="shared" si="273"/>
        <v>0.2</v>
      </c>
      <c r="BV87" s="36">
        <f t="shared" si="274"/>
        <v>0.2</v>
      </c>
      <c r="BW87" s="36">
        <f t="shared" si="275"/>
        <v>0.2</v>
      </c>
      <c r="BX87" s="36">
        <f t="shared" si="276"/>
        <v>0.2</v>
      </c>
      <c r="BY87" s="36">
        <f t="shared" si="277"/>
        <v>0.2</v>
      </c>
      <c r="BZ87" s="36">
        <f t="shared" si="278"/>
        <v>0.2</v>
      </c>
      <c r="CA87" s="36">
        <f t="shared" si="279"/>
        <v>0.2</v>
      </c>
      <c r="CB87" s="36">
        <f t="shared" si="280"/>
        <v>0.2</v>
      </c>
      <c r="CC87" s="36">
        <f t="shared" si="281"/>
        <v>0.2</v>
      </c>
      <c r="CD87" s="35">
        <f t="shared" si="282"/>
        <v>0.36733462223510877</v>
      </c>
      <c r="CE87" s="35">
        <f t="shared" si="283"/>
        <v>0.36733462223510877</v>
      </c>
      <c r="CF87" s="35">
        <f t="shared" si="284"/>
        <v>0.36733462223510877</v>
      </c>
      <c r="CG87" s="35">
        <f t="shared" si="285"/>
        <v>0.36733462223510877</v>
      </c>
      <c r="CH87" s="28">
        <f t="shared" si="286"/>
        <v>0</v>
      </c>
      <c r="CI87" s="28">
        <f t="shared" si="287"/>
        <v>0</v>
      </c>
      <c r="CJ87" s="28">
        <f t="shared" si="288"/>
        <v>15770.614051997149</v>
      </c>
      <c r="CK87" s="28">
        <f t="shared" si="289"/>
        <v>23888.724528294566</v>
      </c>
      <c r="CL87" s="28">
        <f t="shared" si="290"/>
        <v>32524.842135739338</v>
      </c>
      <c r="CM87" s="28">
        <f t="shared" si="291"/>
        <v>31774.254134642233</v>
      </c>
      <c r="CN87" s="28">
        <f t="shared" si="292"/>
        <v>22669.837945199171</v>
      </c>
      <c r="CO87" s="28">
        <f t="shared" si="293"/>
        <v>15649.069200288801</v>
      </c>
      <c r="CP87" s="28">
        <f t="shared" si="294"/>
        <v>9597.6668244768443</v>
      </c>
      <c r="CQ87" s="28">
        <f t="shared" si="295"/>
        <v>5787.4686637582872</v>
      </c>
      <c r="CR87" s="28">
        <f t="shared" si="296"/>
        <v>3303.6965684778916</v>
      </c>
      <c r="CS87" s="28">
        <f t="shared" si="297"/>
        <v>4270.9585678078947</v>
      </c>
      <c r="CT87" s="44">
        <f t="shared" si="356"/>
        <v>0</v>
      </c>
      <c r="CU87" s="44">
        <f t="shared" si="357"/>
        <v>0</v>
      </c>
      <c r="CV87" s="44">
        <f t="shared" si="358"/>
        <v>3.9498611922288367E-2</v>
      </c>
      <c r="CW87" s="44">
        <f t="shared" si="359"/>
        <v>7.3077736815300318E-2</v>
      </c>
      <c r="CX87" s="44">
        <f t="shared" si="360"/>
        <v>0.12152516523867404</v>
      </c>
      <c r="CY87" s="44">
        <f t="shared" si="361"/>
        <v>0.19001022888070654</v>
      </c>
      <c r="CZ87" s="44">
        <f t="shared" si="362"/>
        <v>0.28431012240982284</v>
      </c>
      <c r="DA87" s="44">
        <f t="shared" si="363"/>
        <v>0.41159937644158034</v>
      </c>
      <c r="DB87" s="44">
        <f t="shared" si="364"/>
        <v>0.52941245851207985</v>
      </c>
      <c r="DC87" s="44">
        <f t="shared" si="365"/>
        <v>0.6695136418241765</v>
      </c>
      <c r="DD87" s="44">
        <f t="shared" si="366"/>
        <v>0.80151789053238975</v>
      </c>
      <c r="DE87" s="44">
        <f t="shared" si="367"/>
        <v>0.93082919390256114</v>
      </c>
      <c r="DF87" s="21">
        <f t="shared" si="298"/>
        <v>0</v>
      </c>
      <c r="DG87" s="21">
        <f t="shared" si="299"/>
        <v>0</v>
      </c>
      <c r="DH87" s="21">
        <f t="shared" si="300"/>
        <v>0</v>
      </c>
      <c r="DI87" s="21">
        <f t="shared" si="301"/>
        <v>0</v>
      </c>
      <c r="DJ87" s="21">
        <f t="shared" si="302"/>
        <v>57712.766897698057</v>
      </c>
      <c r="DK87" s="21">
        <f t="shared" si="303"/>
        <v>63861.746140367679</v>
      </c>
      <c r="DL87" s="21">
        <f t="shared" si="304"/>
        <v>30450.785402302896</v>
      </c>
      <c r="DM87" s="21">
        <f t="shared" si="305"/>
        <v>14519.652024218793</v>
      </c>
      <c r="DN87" s="21">
        <f t="shared" si="306"/>
        <v>6923.3122272264163</v>
      </c>
      <c r="DO87" s="21">
        <f t="shared" si="307"/>
        <v>3301.1984113472595</v>
      </c>
      <c r="DP87" s="21">
        <f t="shared" si="308"/>
        <v>1574.0891921970365</v>
      </c>
      <c r="DQ87" s="21">
        <f t="shared" si="309"/>
        <v>1752.256856535108</v>
      </c>
      <c r="DR87" s="21">
        <f t="shared" si="310"/>
        <v>0</v>
      </c>
      <c r="DS87" s="21">
        <f t="shared" si="311"/>
        <v>5259294.923856657</v>
      </c>
      <c r="DT87" s="21">
        <f t="shared" si="312"/>
        <v>5380534.1796473665</v>
      </c>
      <c r="DU87" s="21">
        <f t="shared" si="313"/>
        <v>4494545.6484544016</v>
      </c>
      <c r="DV87" s="13">
        <f t="shared" si="314"/>
        <v>0</v>
      </c>
      <c r="DW87" s="13">
        <f t="shared" si="315"/>
        <v>0</v>
      </c>
      <c r="DX87" s="13">
        <f t="shared" si="316"/>
        <v>0</v>
      </c>
      <c r="DY87" s="13">
        <f t="shared" si="317"/>
        <v>0</v>
      </c>
      <c r="DZ87" s="13">
        <f t="shared" si="318"/>
        <v>191553.75220349256</v>
      </c>
      <c r="EA87" s="13">
        <f t="shared" si="319"/>
        <v>308180.31661442877</v>
      </c>
      <c r="EB87" s="13">
        <f t="shared" si="320"/>
        <v>205324.9902626276</v>
      </c>
      <c r="EC87" s="13">
        <f t="shared" si="321"/>
        <v>132823.70561458965</v>
      </c>
      <c r="ED87" s="13">
        <f t="shared" si="322"/>
        <v>76862.731014944889</v>
      </c>
      <c r="EE87" s="13">
        <f t="shared" si="323"/>
        <v>43921.162350263883</v>
      </c>
      <c r="EF87" s="13">
        <f t="shared" si="324"/>
        <v>23907.174213500301</v>
      </c>
      <c r="EG87" s="13">
        <f t="shared" si="325"/>
        <v>29610.464368267967</v>
      </c>
      <c r="EH87" s="13">
        <f t="shared" si="326"/>
        <v>0</v>
      </c>
      <c r="EI87" s="13">
        <f t="shared" si="327"/>
        <v>52592.949238566573</v>
      </c>
      <c r="EJ87" s="13">
        <f t="shared" si="328"/>
        <v>107610.68359294733</v>
      </c>
      <c r="EK87" s="13">
        <f t="shared" si="329"/>
        <v>134836.36945363204</v>
      </c>
      <c r="EL87" s="21">
        <f t="shared" si="368"/>
        <v>1012184.2966421156</v>
      </c>
      <c r="EM87" s="21">
        <f t="shared" si="369"/>
        <v>295040.00228514592</v>
      </c>
      <c r="EN87" s="21">
        <f t="shared" si="330"/>
        <v>15182764449.631733</v>
      </c>
      <c r="EO87" s="21">
        <f t="shared" si="331"/>
        <v>6638400051.4157829</v>
      </c>
      <c r="EP87" s="21">
        <f t="shared" si="332"/>
        <v>12930228019.768475</v>
      </c>
      <c r="EQ87" s="21">
        <f t="shared" si="333"/>
        <v>4539324106.9989548</v>
      </c>
      <c r="ER87" s="21">
        <f t="shared" si="334"/>
        <v>193896227.57673144</v>
      </c>
      <c r="ES87" s="21">
        <f t="shared" si="335"/>
        <v>68069783.35954918</v>
      </c>
    </row>
    <row r="88" spans="1:149" x14ac:dyDescent="0.25">
      <c r="O88" s="3">
        <v>86</v>
      </c>
      <c r="P88" s="21">
        <f t="shared" si="380"/>
        <v>450507.28597265156</v>
      </c>
      <c r="Q88" s="21">
        <f t="shared" si="381"/>
        <v>419815.18888336571</v>
      </c>
      <c r="R88" s="13">
        <f t="shared" si="393"/>
        <v>692036.07592650957</v>
      </c>
      <c r="S88" s="13">
        <f t="shared" si="336"/>
        <v>512672.93441544165</v>
      </c>
      <c r="T88" s="13">
        <f t="shared" si="337"/>
        <v>399270.08278226812</v>
      </c>
      <c r="U88" s="13">
        <f t="shared" si="338"/>
        <v>326894.69555784261</v>
      </c>
      <c r="V88" s="13">
        <f t="shared" si="339"/>
        <v>267638.7402712793</v>
      </c>
      <c r="W88" s="13">
        <f t="shared" si="340"/>
        <v>167223.91379565597</v>
      </c>
      <c r="X88" s="13">
        <f t="shared" si="341"/>
        <v>79736.302573565525</v>
      </c>
      <c r="Y88" s="13">
        <f t="shared" si="342"/>
        <v>38020.147978790563</v>
      </c>
      <c r="Z88" s="13">
        <f t="shared" si="343"/>
        <v>18128.90246566827</v>
      </c>
      <c r="AA88" s="13">
        <f t="shared" si="344"/>
        <v>8644.287886335158</v>
      </c>
      <c r="AB88" s="13">
        <f t="shared" si="345"/>
        <v>4121.8001587991557</v>
      </c>
      <c r="AC88" s="13">
        <f t="shared" si="346"/>
        <v>4588.3375766272511</v>
      </c>
      <c r="AD88" s="13">
        <f t="shared" si="347"/>
        <v>47617256.786133155</v>
      </c>
      <c r="AE88" s="13">
        <f t="shared" si="348"/>
        <v>32978657.533343848</v>
      </c>
      <c r="AF88" s="13">
        <f t="shared" si="349"/>
        <v>18515688.396475885</v>
      </c>
      <c r="AG88" s="13">
        <f t="shared" si="350"/>
        <v>15466792.688599531</v>
      </c>
      <c r="AH88" s="21">
        <f t="shared" si="250"/>
        <v>0</v>
      </c>
      <c r="AI88" s="21">
        <f t="shared" si="251"/>
        <v>1538.018803246325</v>
      </c>
      <c r="AJ88" s="21">
        <f t="shared" si="252"/>
        <v>19753.361990280635</v>
      </c>
      <c r="AK88" s="21">
        <f t="shared" si="253"/>
        <v>89397.096743081565</v>
      </c>
      <c r="AL88" s="21">
        <f t="shared" si="254"/>
        <v>154751.53687475133</v>
      </c>
      <c r="AM88" s="21">
        <f t="shared" si="255"/>
        <v>135486.57520896461</v>
      </c>
      <c r="AN88" s="21">
        <f t="shared" si="256"/>
        <v>74691.932273911545</v>
      </c>
      <c r="AO88" s="21">
        <f t="shared" si="257"/>
        <v>37429.835154909342</v>
      </c>
      <c r="AP88" s="21">
        <f t="shared" si="258"/>
        <v>18030.624731249121</v>
      </c>
      <c r="AQ88" s="21">
        <f t="shared" si="259"/>
        <v>8618.3550226761527</v>
      </c>
      <c r="AR88" s="21">
        <f t="shared" si="260"/>
        <v>4121.8001587991557</v>
      </c>
      <c r="AS88" s="21">
        <f t="shared" si="261"/>
        <v>4588.3375766272511</v>
      </c>
      <c r="AT88" s="21">
        <f t="shared" si="262"/>
        <v>0</v>
      </c>
      <c r="AU88" s="21">
        <f t="shared" si="263"/>
        <v>16489328.766671924</v>
      </c>
      <c r="AV88" s="21">
        <f t="shared" si="264"/>
        <v>18515688.396475885</v>
      </c>
      <c r="AW88" s="21">
        <f t="shared" si="265"/>
        <v>15466792.688599531</v>
      </c>
      <c r="AX88" s="13">
        <f t="shared" si="351"/>
        <v>0.2</v>
      </c>
      <c r="AY88" s="13">
        <f t="shared" si="382"/>
        <v>0.6</v>
      </c>
      <c r="AZ88" s="13">
        <f t="shared" si="383"/>
        <v>1.2658</v>
      </c>
      <c r="BA88" s="13">
        <f t="shared" si="384"/>
        <v>2.1566490283456017</v>
      </c>
      <c r="BB88" s="13">
        <f t="shared" si="385"/>
        <v>3.3190880025392371</v>
      </c>
      <c r="BC88" s="13">
        <f t="shared" si="386"/>
        <v>4.8257420950728829</v>
      </c>
      <c r="BD88" s="13">
        <f t="shared" si="387"/>
        <v>6.7428471072244012</v>
      </c>
      <c r="BE88" s="13">
        <f t="shared" si="388"/>
        <v>9.1478573586364771</v>
      </c>
      <c r="BF88" s="13">
        <f t="shared" si="389"/>
        <v>11.102017140390943</v>
      </c>
      <c r="BG88" s="13">
        <f t="shared" si="390"/>
        <v>13.304611500870029</v>
      </c>
      <c r="BH88" s="13">
        <f t="shared" si="391"/>
        <v>15.187941275508269</v>
      </c>
      <c r="BI88" s="13">
        <f t="shared" si="392"/>
        <v>16.898472537194262</v>
      </c>
      <c r="BJ88" s="13">
        <f t="shared" si="266"/>
        <v>4.0000000000000001E-3</v>
      </c>
      <c r="BK88" s="13">
        <f t="shared" si="267"/>
        <v>0.01</v>
      </c>
      <c r="BL88" s="13">
        <f t="shared" si="268"/>
        <v>0.02</v>
      </c>
      <c r="BM88" s="13">
        <f t="shared" si="269"/>
        <v>0.03</v>
      </c>
      <c r="BN88" s="30">
        <f t="shared" si="352"/>
        <v>4693566.6069662562</v>
      </c>
      <c r="BO88" s="30">
        <f t="shared" si="353"/>
        <v>1354573.1510654748</v>
      </c>
      <c r="BP88" s="30">
        <f t="shared" si="354"/>
        <v>2687198.8153191144</v>
      </c>
      <c r="BQ88" s="30">
        <f t="shared" si="355"/>
        <v>999210.83625422278</v>
      </c>
      <c r="BR88" s="36">
        <f t="shared" si="270"/>
        <v>0.3</v>
      </c>
      <c r="BS88" s="36">
        <f t="shared" si="271"/>
        <v>0.25</v>
      </c>
      <c r="BT88" s="36">
        <f t="shared" si="272"/>
        <v>0.2</v>
      </c>
      <c r="BU88" s="36">
        <f t="shared" si="273"/>
        <v>0.2</v>
      </c>
      <c r="BV88" s="36">
        <f t="shared" si="274"/>
        <v>0.2</v>
      </c>
      <c r="BW88" s="36">
        <f t="shared" si="275"/>
        <v>0.2</v>
      </c>
      <c r="BX88" s="36">
        <f t="shared" si="276"/>
        <v>0.2</v>
      </c>
      <c r="BY88" s="36">
        <f t="shared" si="277"/>
        <v>0.2</v>
      </c>
      <c r="BZ88" s="36">
        <f t="shared" si="278"/>
        <v>0.2</v>
      </c>
      <c r="CA88" s="36">
        <f t="shared" si="279"/>
        <v>0.2</v>
      </c>
      <c r="CB88" s="36">
        <f t="shared" si="280"/>
        <v>0.2</v>
      </c>
      <c r="CC88" s="36">
        <f t="shared" si="281"/>
        <v>0.2</v>
      </c>
      <c r="CD88" s="35">
        <f t="shared" si="282"/>
        <v>0.36733462223509222</v>
      </c>
      <c r="CE88" s="35">
        <f t="shared" si="283"/>
        <v>0.36733462223509222</v>
      </c>
      <c r="CF88" s="35">
        <f t="shared" si="284"/>
        <v>0.36733462223509222</v>
      </c>
      <c r="CG88" s="35">
        <f t="shared" si="285"/>
        <v>0.36733462223509222</v>
      </c>
      <c r="CH88" s="28">
        <f t="shared" si="286"/>
        <v>0</v>
      </c>
      <c r="CI88" s="28">
        <f t="shared" si="287"/>
        <v>0</v>
      </c>
      <c r="CJ88" s="28">
        <f t="shared" si="288"/>
        <v>15770.614051998393</v>
      </c>
      <c r="CK88" s="28">
        <f t="shared" si="289"/>
        <v>23888.724528296218</v>
      </c>
      <c r="CL88" s="28">
        <f t="shared" si="290"/>
        <v>32524.84213574115</v>
      </c>
      <c r="CM88" s="28">
        <f t="shared" si="291"/>
        <v>31774.254134643426</v>
      </c>
      <c r="CN88" s="28">
        <f t="shared" si="292"/>
        <v>22669.837945199433</v>
      </c>
      <c r="CO88" s="28">
        <f t="shared" si="293"/>
        <v>15649.069200288428</v>
      </c>
      <c r="CP88" s="28">
        <f t="shared" si="294"/>
        <v>9597.6668244761386</v>
      </c>
      <c r="CQ88" s="28">
        <f t="shared" si="295"/>
        <v>5787.468663757465</v>
      </c>
      <c r="CR88" s="28">
        <f t="shared" si="296"/>
        <v>3303.6965684771112</v>
      </c>
      <c r="CS88" s="28">
        <f t="shared" si="297"/>
        <v>4270.9585678052181</v>
      </c>
      <c r="CT88" s="44">
        <f t="shared" si="356"/>
        <v>0</v>
      </c>
      <c r="CU88" s="44">
        <f t="shared" si="357"/>
        <v>0</v>
      </c>
      <c r="CV88" s="44">
        <f t="shared" si="358"/>
        <v>3.9498611922292461E-2</v>
      </c>
      <c r="CW88" s="44">
        <f t="shared" si="359"/>
        <v>7.3077736815307881E-2</v>
      </c>
      <c r="CX88" s="44">
        <f t="shared" si="360"/>
        <v>0.12152516523868663</v>
      </c>
      <c r="CY88" s="44">
        <f t="shared" si="361"/>
        <v>0.19001022888072625</v>
      </c>
      <c r="CZ88" s="44">
        <f t="shared" si="362"/>
        <v>0.28431012240985226</v>
      </c>
      <c r="DA88" s="44">
        <f t="shared" si="363"/>
        <v>0.41159937644162298</v>
      </c>
      <c r="DB88" s="44">
        <f t="shared" si="364"/>
        <v>0.52941245851213459</v>
      </c>
      <c r="DC88" s="44">
        <f t="shared" si="365"/>
        <v>0.669513641824246</v>
      </c>
      <c r="DD88" s="44">
        <f t="shared" si="366"/>
        <v>0.80151789053247291</v>
      </c>
      <c r="DE88" s="44">
        <f t="shared" si="367"/>
        <v>0.93082919390265773</v>
      </c>
      <c r="DF88" s="21">
        <f t="shared" si="298"/>
        <v>0</v>
      </c>
      <c r="DG88" s="21">
        <f t="shared" si="299"/>
        <v>0</v>
      </c>
      <c r="DH88" s="21">
        <f t="shared" si="300"/>
        <v>0</v>
      </c>
      <c r="DI88" s="21">
        <f t="shared" si="301"/>
        <v>0</v>
      </c>
      <c r="DJ88" s="21">
        <f t="shared" si="302"/>
        <v>57712.766897695292</v>
      </c>
      <c r="DK88" s="21">
        <f t="shared" si="303"/>
        <v>63861.746140363459</v>
      </c>
      <c r="DL88" s="21">
        <f t="shared" si="304"/>
        <v>30450.785402300095</v>
      </c>
      <c r="DM88" s="21">
        <f t="shared" si="305"/>
        <v>14519.652024216941</v>
      </c>
      <c r="DN88" s="21">
        <f t="shared" si="306"/>
        <v>6923.3122272251903</v>
      </c>
      <c r="DO88" s="21">
        <f t="shared" si="307"/>
        <v>3301.1984113464478</v>
      </c>
      <c r="DP88" s="21">
        <f t="shared" si="308"/>
        <v>1574.0891921965012</v>
      </c>
      <c r="DQ88" s="21">
        <f t="shared" si="309"/>
        <v>1752.2568565338279</v>
      </c>
      <c r="DR88" s="21">
        <f t="shared" si="310"/>
        <v>0</v>
      </c>
      <c r="DS88" s="21">
        <f t="shared" si="311"/>
        <v>5259294.9238568796</v>
      </c>
      <c r="DT88" s="21">
        <f t="shared" si="312"/>
        <v>5380534.1796477865</v>
      </c>
      <c r="DU88" s="21">
        <f t="shared" si="313"/>
        <v>4494545.6484553693</v>
      </c>
      <c r="DV88" s="13">
        <f t="shared" si="314"/>
        <v>0</v>
      </c>
      <c r="DW88" s="13">
        <f t="shared" si="315"/>
        <v>0</v>
      </c>
      <c r="DX88" s="13">
        <f t="shared" si="316"/>
        <v>0</v>
      </c>
      <c r="DY88" s="13">
        <f t="shared" si="317"/>
        <v>0</v>
      </c>
      <c r="DZ88" s="13">
        <f t="shared" si="318"/>
        <v>191553.75220348407</v>
      </c>
      <c r="EA88" s="13">
        <f t="shared" si="319"/>
        <v>308180.31661441014</v>
      </c>
      <c r="EB88" s="13">
        <f t="shared" si="320"/>
        <v>205324.99026261023</v>
      </c>
      <c r="EC88" s="13">
        <f t="shared" si="321"/>
        <v>132823.70561457396</v>
      </c>
      <c r="ED88" s="13">
        <f t="shared" si="322"/>
        <v>76862.731014932258</v>
      </c>
      <c r="EE88" s="13">
        <f t="shared" si="323"/>
        <v>43921.16235025382</v>
      </c>
      <c r="EF88" s="13">
        <f t="shared" si="324"/>
        <v>23907.174213492712</v>
      </c>
      <c r="EG88" s="13">
        <f t="shared" si="325"/>
        <v>29610.464368247238</v>
      </c>
      <c r="EH88" s="13">
        <f t="shared" si="326"/>
        <v>0</v>
      </c>
      <c r="EI88" s="13">
        <f t="shared" si="327"/>
        <v>52592.949238568799</v>
      </c>
      <c r="EJ88" s="13">
        <f t="shared" si="328"/>
        <v>107610.68359295573</v>
      </c>
      <c r="EK88" s="13">
        <f t="shared" si="329"/>
        <v>134836.36945366109</v>
      </c>
      <c r="EL88" s="21">
        <f t="shared" si="368"/>
        <v>1012184.2966420043</v>
      </c>
      <c r="EM88" s="21">
        <f t="shared" si="369"/>
        <v>295040.00228518562</v>
      </c>
      <c r="EN88" s="21">
        <f t="shared" si="330"/>
        <v>15182764449.630064</v>
      </c>
      <c r="EO88" s="21">
        <f t="shared" si="331"/>
        <v>6638400051.4166765</v>
      </c>
      <c r="EP88" s="21">
        <f t="shared" si="332"/>
        <v>12930228019.766806</v>
      </c>
      <c r="EQ88" s="21">
        <f t="shared" si="333"/>
        <v>4539324106.9998474</v>
      </c>
      <c r="ER88" s="21">
        <f t="shared" si="334"/>
        <v>184439796.97064996</v>
      </c>
      <c r="ES88" s="21">
        <f t="shared" si="335"/>
        <v>64749980.851004988</v>
      </c>
    </row>
    <row r="89" spans="1:149" x14ac:dyDescent="0.25">
      <c r="O89" s="3">
        <v>87</v>
      </c>
      <c r="P89" s="21">
        <f t="shared" si="380"/>
        <v>450507.28597265156</v>
      </c>
      <c r="Q89" s="21">
        <f t="shared" si="381"/>
        <v>419815.18888336571</v>
      </c>
      <c r="R89" s="13">
        <f t="shared" si="393"/>
        <v>692036.07592650317</v>
      </c>
      <c r="S89" s="13">
        <f t="shared" si="336"/>
        <v>512672.93441543501</v>
      </c>
      <c r="T89" s="13">
        <f t="shared" si="337"/>
        <v>399270.08278226096</v>
      </c>
      <c r="U89" s="13">
        <f t="shared" si="338"/>
        <v>326894.69555783452</v>
      </c>
      <c r="V89" s="13">
        <f t="shared" si="339"/>
        <v>267638.7402712701</v>
      </c>
      <c r="W89" s="13">
        <f t="shared" si="340"/>
        <v>167223.91379564797</v>
      </c>
      <c r="X89" s="13">
        <f t="shared" si="341"/>
        <v>79736.302573560257</v>
      </c>
      <c r="Y89" s="13">
        <f t="shared" si="342"/>
        <v>38020.147978787063</v>
      </c>
      <c r="Z89" s="13">
        <f t="shared" si="343"/>
        <v>18128.90246566596</v>
      </c>
      <c r="AA89" s="13">
        <f t="shared" si="344"/>
        <v>8644.2878863336282</v>
      </c>
      <c r="AB89" s="13">
        <f t="shared" si="345"/>
        <v>4121.8001587981425</v>
      </c>
      <c r="AC89" s="13">
        <f t="shared" si="346"/>
        <v>4588.3375766248373</v>
      </c>
      <c r="AD89" s="13">
        <f t="shared" si="347"/>
        <v>47617256.786133446</v>
      </c>
      <c r="AE89" s="13">
        <f t="shared" si="348"/>
        <v>32978657.533344671</v>
      </c>
      <c r="AF89" s="13">
        <f t="shared" si="349"/>
        <v>18515688.396476839</v>
      </c>
      <c r="AG89" s="13">
        <f t="shared" si="350"/>
        <v>15466792.688601848</v>
      </c>
      <c r="AH89" s="21">
        <f t="shared" si="250"/>
        <v>0</v>
      </c>
      <c r="AI89" s="21">
        <f t="shared" si="251"/>
        <v>1538.018803246305</v>
      </c>
      <c r="AJ89" s="21">
        <f t="shared" si="252"/>
        <v>19753.361990280282</v>
      </c>
      <c r="AK89" s="21">
        <f t="shared" si="253"/>
        <v>89397.096743079353</v>
      </c>
      <c r="AL89" s="21">
        <f t="shared" si="254"/>
        <v>154751.536874746</v>
      </c>
      <c r="AM89" s="21">
        <f t="shared" si="255"/>
        <v>135486.57520895812</v>
      </c>
      <c r="AN89" s="21">
        <f t="shared" si="256"/>
        <v>74691.932273906612</v>
      </c>
      <c r="AO89" s="21">
        <f t="shared" si="257"/>
        <v>37429.835154905893</v>
      </c>
      <c r="AP89" s="21">
        <f t="shared" si="258"/>
        <v>18030.624731246822</v>
      </c>
      <c r="AQ89" s="21">
        <f t="shared" si="259"/>
        <v>8618.3550226746283</v>
      </c>
      <c r="AR89" s="21">
        <f t="shared" si="260"/>
        <v>4121.8001587981425</v>
      </c>
      <c r="AS89" s="21">
        <f t="shared" si="261"/>
        <v>4588.3375766248373</v>
      </c>
      <c r="AT89" s="21">
        <f t="shared" si="262"/>
        <v>0</v>
      </c>
      <c r="AU89" s="21">
        <f t="shared" si="263"/>
        <v>16489328.766672336</v>
      </c>
      <c r="AV89" s="21">
        <f t="shared" si="264"/>
        <v>18515688.396476839</v>
      </c>
      <c r="AW89" s="21">
        <f t="shared" si="265"/>
        <v>15466792.688601848</v>
      </c>
      <c r="AX89" s="13">
        <f t="shared" si="351"/>
        <v>0.2</v>
      </c>
      <c r="AY89" s="13">
        <f t="shared" si="382"/>
        <v>0.6</v>
      </c>
      <c r="AZ89" s="13">
        <f t="shared" si="383"/>
        <v>1.2658</v>
      </c>
      <c r="BA89" s="13">
        <f t="shared" si="384"/>
        <v>2.1566490283456048</v>
      </c>
      <c r="BB89" s="13">
        <f t="shared" si="385"/>
        <v>3.3190880025392455</v>
      </c>
      <c r="BC89" s="13">
        <f t="shared" si="386"/>
        <v>4.8257420950729015</v>
      </c>
      <c r="BD89" s="13">
        <f t="shared" si="387"/>
        <v>6.7428471072244385</v>
      </c>
      <c r="BE89" s="13">
        <f t="shared" si="388"/>
        <v>9.1478573586365393</v>
      </c>
      <c r="BF89" s="13">
        <f t="shared" si="389"/>
        <v>11.102017140391045</v>
      </c>
      <c r="BG89" s="13">
        <f t="shared" si="390"/>
        <v>13.304611500870191</v>
      </c>
      <c r="BH89" s="13">
        <f t="shared" si="391"/>
        <v>15.187941275508514</v>
      </c>
      <c r="BI89" s="13">
        <f t="shared" si="392"/>
        <v>16.898472537194635</v>
      </c>
      <c r="BJ89" s="13">
        <f t="shared" si="266"/>
        <v>4.0000000000000001E-3</v>
      </c>
      <c r="BK89" s="13">
        <f t="shared" si="267"/>
        <v>0.01</v>
      </c>
      <c r="BL89" s="13">
        <f t="shared" si="268"/>
        <v>0.02</v>
      </c>
      <c r="BM89" s="13">
        <f t="shared" si="269"/>
        <v>0.03</v>
      </c>
      <c r="BN89" s="30">
        <f t="shared" si="352"/>
        <v>4693566.6069660028</v>
      </c>
      <c r="BO89" s="30">
        <f t="shared" si="353"/>
        <v>1354573.1510655726</v>
      </c>
      <c r="BP89" s="30">
        <f t="shared" si="354"/>
        <v>2687198.8153189085</v>
      </c>
      <c r="BQ89" s="30">
        <f t="shared" si="355"/>
        <v>999210.83625431545</v>
      </c>
      <c r="BR89" s="36">
        <f t="shared" si="270"/>
        <v>0.3</v>
      </c>
      <c r="BS89" s="36">
        <f t="shared" si="271"/>
        <v>0.25</v>
      </c>
      <c r="BT89" s="36">
        <f t="shared" si="272"/>
        <v>0.2</v>
      </c>
      <c r="BU89" s="36">
        <f t="shared" si="273"/>
        <v>0.2</v>
      </c>
      <c r="BV89" s="36">
        <f t="shared" si="274"/>
        <v>0.2</v>
      </c>
      <c r="BW89" s="36">
        <f t="shared" si="275"/>
        <v>0.2</v>
      </c>
      <c r="BX89" s="36">
        <f t="shared" si="276"/>
        <v>0.2</v>
      </c>
      <c r="BY89" s="36">
        <f t="shared" si="277"/>
        <v>0.2</v>
      </c>
      <c r="BZ89" s="36">
        <f t="shared" si="278"/>
        <v>0.2</v>
      </c>
      <c r="CA89" s="36">
        <f t="shared" si="279"/>
        <v>0.2</v>
      </c>
      <c r="CB89" s="36">
        <f t="shared" si="280"/>
        <v>0.2</v>
      </c>
      <c r="CC89" s="36">
        <f t="shared" si="281"/>
        <v>0.2</v>
      </c>
      <c r="CD89" s="35">
        <f t="shared" si="282"/>
        <v>0.36733462223508034</v>
      </c>
      <c r="CE89" s="35">
        <f t="shared" si="283"/>
        <v>0.36733462223508034</v>
      </c>
      <c r="CF89" s="35">
        <f t="shared" si="284"/>
        <v>0.36733462223508034</v>
      </c>
      <c r="CG89" s="35">
        <f t="shared" si="285"/>
        <v>0.36733462223508034</v>
      </c>
      <c r="CH89" s="28">
        <f t="shared" si="286"/>
        <v>0</v>
      </c>
      <c r="CI89" s="28">
        <f t="shared" si="287"/>
        <v>0</v>
      </c>
      <c r="CJ89" s="28">
        <f t="shared" si="288"/>
        <v>15770.614051999291</v>
      </c>
      <c r="CK89" s="28">
        <f t="shared" si="289"/>
        <v>23888.724528297415</v>
      </c>
      <c r="CL89" s="28">
        <f t="shared" si="290"/>
        <v>32524.842135742463</v>
      </c>
      <c r="CM89" s="28">
        <f t="shared" si="291"/>
        <v>31774.254134644281</v>
      </c>
      <c r="CN89" s="28">
        <f t="shared" si="292"/>
        <v>22669.83794519963</v>
      </c>
      <c r="CO89" s="28">
        <f t="shared" si="293"/>
        <v>15649.069200288159</v>
      </c>
      <c r="CP89" s="28">
        <f t="shared" si="294"/>
        <v>9597.6668244756347</v>
      </c>
      <c r="CQ89" s="28">
        <f t="shared" si="295"/>
        <v>5787.4686637568739</v>
      </c>
      <c r="CR89" s="28">
        <f t="shared" si="296"/>
        <v>3303.6965684765455</v>
      </c>
      <c r="CS89" s="28">
        <f t="shared" si="297"/>
        <v>4270.95856780329</v>
      </c>
      <c r="CT89" s="44">
        <f t="shared" si="356"/>
        <v>0</v>
      </c>
      <c r="CU89" s="44">
        <f t="shared" si="357"/>
        <v>0</v>
      </c>
      <c r="CV89" s="44">
        <f t="shared" si="358"/>
        <v>3.9498611922295417E-2</v>
      </c>
      <c r="CW89" s="44">
        <f t="shared" si="359"/>
        <v>7.3077736815313349E-2</v>
      </c>
      <c r="CX89" s="44">
        <f t="shared" si="360"/>
        <v>0.12152516523869571</v>
      </c>
      <c r="CY89" s="44">
        <f t="shared" si="361"/>
        <v>0.19001022888074046</v>
      </c>
      <c r="CZ89" s="44">
        <f t="shared" si="362"/>
        <v>0.28431012240987352</v>
      </c>
      <c r="DA89" s="44">
        <f t="shared" si="363"/>
        <v>0.41159937644165379</v>
      </c>
      <c r="DB89" s="44">
        <f t="shared" si="364"/>
        <v>0.52941245851217433</v>
      </c>
      <c r="DC89" s="44">
        <f t="shared" si="365"/>
        <v>0.66951364182429607</v>
      </c>
      <c r="DD89" s="44">
        <f t="shared" si="366"/>
        <v>0.80151789053253275</v>
      </c>
      <c r="DE89" s="44">
        <f t="shared" si="367"/>
        <v>0.93082919390272711</v>
      </c>
      <c r="DF89" s="21">
        <f t="shared" si="298"/>
        <v>0</v>
      </c>
      <c r="DG89" s="21">
        <f t="shared" si="299"/>
        <v>0</v>
      </c>
      <c r="DH89" s="21">
        <f t="shared" si="300"/>
        <v>0</v>
      </c>
      <c r="DI89" s="21">
        <f t="shared" si="301"/>
        <v>0</v>
      </c>
      <c r="DJ89" s="21">
        <f t="shared" si="302"/>
        <v>57712.766897693306</v>
      </c>
      <c r="DK89" s="21">
        <f t="shared" si="303"/>
        <v>63861.746140360396</v>
      </c>
      <c r="DL89" s="21">
        <f t="shared" si="304"/>
        <v>30450.785402298086</v>
      </c>
      <c r="DM89" s="21">
        <f t="shared" si="305"/>
        <v>14519.652024215606</v>
      </c>
      <c r="DN89" s="21">
        <f t="shared" si="306"/>
        <v>6923.3122272243081</v>
      </c>
      <c r="DO89" s="21">
        <f t="shared" si="307"/>
        <v>3301.1984113458639</v>
      </c>
      <c r="DP89" s="21">
        <f t="shared" si="308"/>
        <v>1574.0891921961143</v>
      </c>
      <c r="DQ89" s="21">
        <f t="shared" si="309"/>
        <v>1752.2568565329061</v>
      </c>
      <c r="DR89" s="21">
        <f t="shared" si="310"/>
        <v>0</v>
      </c>
      <c r="DS89" s="21">
        <f t="shared" si="311"/>
        <v>5259294.9238570388</v>
      </c>
      <c r="DT89" s="21">
        <f t="shared" si="312"/>
        <v>5380534.179648092</v>
      </c>
      <c r="DU89" s="21">
        <f t="shared" si="313"/>
        <v>4494545.6484560659</v>
      </c>
      <c r="DV89" s="13">
        <f t="shared" si="314"/>
        <v>0</v>
      </c>
      <c r="DW89" s="13">
        <f t="shared" si="315"/>
        <v>0</v>
      </c>
      <c r="DX89" s="13">
        <f t="shared" si="316"/>
        <v>0</v>
      </c>
      <c r="DY89" s="13">
        <f t="shared" si="317"/>
        <v>0</v>
      </c>
      <c r="DZ89" s="13">
        <f t="shared" si="318"/>
        <v>191553.75220347795</v>
      </c>
      <c r="EA89" s="13">
        <f t="shared" si="319"/>
        <v>308180.31661439658</v>
      </c>
      <c r="EB89" s="13">
        <f t="shared" si="320"/>
        <v>205324.9902625978</v>
      </c>
      <c r="EC89" s="13">
        <f t="shared" si="321"/>
        <v>132823.70561456264</v>
      </c>
      <c r="ED89" s="13">
        <f t="shared" si="322"/>
        <v>76862.731014923163</v>
      </c>
      <c r="EE89" s="13">
        <f t="shared" si="323"/>
        <v>43921.162350246581</v>
      </c>
      <c r="EF89" s="13">
        <f t="shared" si="324"/>
        <v>23907.174213487218</v>
      </c>
      <c r="EG89" s="13">
        <f t="shared" si="325"/>
        <v>29610.464368232315</v>
      </c>
      <c r="EH89" s="13">
        <f t="shared" si="326"/>
        <v>0</v>
      </c>
      <c r="EI89" s="13">
        <f t="shared" si="327"/>
        <v>52592.949238570392</v>
      </c>
      <c r="EJ89" s="13">
        <f t="shared" si="328"/>
        <v>107610.68359296184</v>
      </c>
      <c r="EK89" s="13">
        <f t="shared" si="329"/>
        <v>134836.36945368198</v>
      </c>
      <c r="EL89" s="21">
        <f t="shared" si="368"/>
        <v>1012184.2966419242</v>
      </c>
      <c r="EM89" s="21">
        <f t="shared" si="369"/>
        <v>295040.0022852142</v>
      </c>
      <c r="EN89" s="21">
        <f t="shared" si="330"/>
        <v>15182764449.628862</v>
      </c>
      <c r="EO89" s="21">
        <f t="shared" si="331"/>
        <v>6638400051.4173193</v>
      </c>
      <c r="EP89" s="21">
        <f t="shared" si="332"/>
        <v>12930228019.765604</v>
      </c>
      <c r="EQ89" s="21">
        <f t="shared" si="333"/>
        <v>4539324107.0004902</v>
      </c>
      <c r="ER89" s="21">
        <f t="shared" si="334"/>
        <v>175444561.92740363</v>
      </c>
      <c r="ES89" s="21">
        <f t="shared" si="335"/>
        <v>61592087.021342456</v>
      </c>
    </row>
    <row r="90" spans="1:149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O90" s="3">
        <v>88</v>
      </c>
      <c r="P90" s="21">
        <f t="shared" si="380"/>
        <v>450507.28597265156</v>
      </c>
      <c r="Q90" s="21">
        <f t="shared" si="381"/>
        <v>419815.18888336571</v>
      </c>
      <c r="R90" s="13">
        <f t="shared" si="393"/>
        <v>692036.07592649851</v>
      </c>
      <c r="S90" s="13">
        <f t="shared" si="336"/>
        <v>512672.9344154303</v>
      </c>
      <c r="T90" s="13">
        <f t="shared" si="337"/>
        <v>399270.08278225578</v>
      </c>
      <c r="U90" s="13">
        <f t="shared" si="338"/>
        <v>326894.69555782864</v>
      </c>
      <c r="V90" s="13">
        <f t="shared" si="339"/>
        <v>267638.74027126346</v>
      </c>
      <c r="W90" s="13">
        <f t="shared" si="340"/>
        <v>167223.91379564223</v>
      </c>
      <c r="X90" s="13">
        <f t="shared" si="341"/>
        <v>79736.30257355643</v>
      </c>
      <c r="Y90" s="13">
        <f t="shared" si="342"/>
        <v>38020.147978784553</v>
      </c>
      <c r="Z90" s="13">
        <f t="shared" si="343"/>
        <v>18128.902465664291</v>
      </c>
      <c r="AA90" s="13">
        <f t="shared" si="344"/>
        <v>8644.2878863325259</v>
      </c>
      <c r="AB90" s="13">
        <f t="shared" si="345"/>
        <v>4121.8001587974131</v>
      </c>
      <c r="AC90" s="13">
        <f t="shared" si="346"/>
        <v>4588.3375766230956</v>
      </c>
      <c r="AD90" s="13">
        <f t="shared" si="347"/>
        <v>47617256.786133662</v>
      </c>
      <c r="AE90" s="13">
        <f t="shared" si="348"/>
        <v>32978657.533345263</v>
      </c>
      <c r="AF90" s="13">
        <f t="shared" si="349"/>
        <v>18515688.39647752</v>
      </c>
      <c r="AG90" s="13">
        <f t="shared" si="350"/>
        <v>15466792.68860352</v>
      </c>
      <c r="AH90" s="21">
        <f t="shared" si="250"/>
        <v>0</v>
      </c>
      <c r="AI90" s="21">
        <f t="shared" si="251"/>
        <v>1538.0188032462909</v>
      </c>
      <c r="AJ90" s="21">
        <f t="shared" si="252"/>
        <v>19753.361990280024</v>
      </c>
      <c r="AK90" s="21">
        <f t="shared" si="253"/>
        <v>89397.096743077753</v>
      </c>
      <c r="AL90" s="21">
        <f t="shared" si="254"/>
        <v>154751.53687474216</v>
      </c>
      <c r="AM90" s="21">
        <f t="shared" si="255"/>
        <v>135486.57520895349</v>
      </c>
      <c r="AN90" s="21">
        <f t="shared" si="256"/>
        <v>74691.932273903018</v>
      </c>
      <c r="AO90" s="21">
        <f t="shared" si="257"/>
        <v>37429.83515490342</v>
      </c>
      <c r="AP90" s="21">
        <f t="shared" si="258"/>
        <v>18030.624731245163</v>
      </c>
      <c r="AQ90" s="21">
        <f t="shared" si="259"/>
        <v>8618.3550226735297</v>
      </c>
      <c r="AR90" s="21">
        <f t="shared" si="260"/>
        <v>4121.8001587974131</v>
      </c>
      <c r="AS90" s="21">
        <f t="shared" si="261"/>
        <v>4588.3375766230956</v>
      </c>
      <c r="AT90" s="21">
        <f t="shared" si="262"/>
        <v>0</v>
      </c>
      <c r="AU90" s="21">
        <f t="shared" si="263"/>
        <v>16489328.766672632</v>
      </c>
      <c r="AV90" s="21">
        <f t="shared" si="264"/>
        <v>18515688.39647752</v>
      </c>
      <c r="AW90" s="21">
        <f t="shared" si="265"/>
        <v>15466792.68860352</v>
      </c>
      <c r="AX90" s="13">
        <f t="shared" si="351"/>
        <v>0.2</v>
      </c>
      <c r="AY90" s="13">
        <f t="shared" si="382"/>
        <v>0.6</v>
      </c>
      <c r="AZ90" s="13">
        <f t="shared" si="383"/>
        <v>1.2658</v>
      </c>
      <c r="BA90" s="13">
        <f t="shared" si="384"/>
        <v>2.156649028345607</v>
      </c>
      <c r="BB90" s="13">
        <f t="shared" si="385"/>
        <v>3.3190880025392522</v>
      </c>
      <c r="BC90" s="13">
        <f t="shared" si="386"/>
        <v>4.8257420950729149</v>
      </c>
      <c r="BD90" s="13">
        <f t="shared" si="387"/>
        <v>6.7428471072244642</v>
      </c>
      <c r="BE90" s="13">
        <f t="shared" si="388"/>
        <v>9.1478573586365837</v>
      </c>
      <c r="BF90" s="13">
        <f t="shared" si="389"/>
        <v>11.102017140391119</v>
      </c>
      <c r="BG90" s="13">
        <f t="shared" si="390"/>
        <v>13.304611500870307</v>
      </c>
      <c r="BH90" s="13">
        <f t="shared" si="391"/>
        <v>15.187941275508694</v>
      </c>
      <c r="BI90" s="13">
        <f t="shared" si="392"/>
        <v>16.898472537194902</v>
      </c>
      <c r="BJ90" s="13">
        <f t="shared" si="266"/>
        <v>4.0000000000000001E-3</v>
      </c>
      <c r="BK90" s="13">
        <f t="shared" si="267"/>
        <v>0.01</v>
      </c>
      <c r="BL90" s="13">
        <f t="shared" si="268"/>
        <v>0.02</v>
      </c>
      <c r="BM90" s="13">
        <f t="shared" si="269"/>
        <v>0.03</v>
      </c>
      <c r="BN90" s="30">
        <f t="shared" si="352"/>
        <v>4693566.6069658212</v>
      </c>
      <c r="BO90" s="30">
        <f t="shared" si="353"/>
        <v>1354573.1510656434</v>
      </c>
      <c r="BP90" s="30">
        <f t="shared" si="354"/>
        <v>2687198.81531876</v>
      </c>
      <c r="BQ90" s="30">
        <f t="shared" si="355"/>
        <v>999210.83625438239</v>
      </c>
      <c r="BR90" s="36">
        <f t="shared" si="270"/>
        <v>0.3</v>
      </c>
      <c r="BS90" s="36">
        <f t="shared" si="271"/>
        <v>0.25</v>
      </c>
      <c r="BT90" s="36">
        <f t="shared" si="272"/>
        <v>0.2</v>
      </c>
      <c r="BU90" s="36">
        <f t="shared" si="273"/>
        <v>0.2</v>
      </c>
      <c r="BV90" s="36">
        <f t="shared" si="274"/>
        <v>0.2</v>
      </c>
      <c r="BW90" s="36">
        <f t="shared" si="275"/>
        <v>0.2</v>
      </c>
      <c r="BX90" s="36">
        <f t="shared" si="276"/>
        <v>0.2</v>
      </c>
      <c r="BY90" s="36">
        <f t="shared" si="277"/>
        <v>0.2</v>
      </c>
      <c r="BZ90" s="36">
        <f t="shared" si="278"/>
        <v>0.2</v>
      </c>
      <c r="CA90" s="36">
        <f t="shared" si="279"/>
        <v>0.2</v>
      </c>
      <c r="CB90" s="36">
        <f t="shared" si="280"/>
        <v>0.2</v>
      </c>
      <c r="CC90" s="36">
        <f t="shared" si="281"/>
        <v>0.2</v>
      </c>
      <c r="CD90" s="35">
        <f t="shared" si="282"/>
        <v>0.36733462223507179</v>
      </c>
      <c r="CE90" s="35">
        <f t="shared" si="283"/>
        <v>0.36733462223507179</v>
      </c>
      <c r="CF90" s="35">
        <f t="shared" si="284"/>
        <v>0.36733462223507179</v>
      </c>
      <c r="CG90" s="35">
        <f t="shared" si="285"/>
        <v>0.36733462223507179</v>
      </c>
      <c r="CH90" s="28">
        <f t="shared" si="286"/>
        <v>0</v>
      </c>
      <c r="CI90" s="28">
        <f t="shared" si="287"/>
        <v>0</v>
      </c>
      <c r="CJ90" s="28">
        <f t="shared" si="288"/>
        <v>15770.614051999932</v>
      </c>
      <c r="CK90" s="28">
        <f t="shared" si="289"/>
        <v>23888.724528298269</v>
      </c>
      <c r="CL90" s="28">
        <f t="shared" si="290"/>
        <v>32524.842135743405</v>
      </c>
      <c r="CM90" s="28">
        <f t="shared" si="291"/>
        <v>31774.2541346449</v>
      </c>
      <c r="CN90" s="28">
        <f t="shared" si="292"/>
        <v>22669.837945199761</v>
      </c>
      <c r="CO90" s="28">
        <f t="shared" si="293"/>
        <v>15649.069200287966</v>
      </c>
      <c r="CP90" s="28">
        <f t="shared" si="294"/>
        <v>9597.6668244752655</v>
      </c>
      <c r="CQ90" s="28">
        <f t="shared" si="295"/>
        <v>5787.4686637564464</v>
      </c>
      <c r="CR90" s="28">
        <f t="shared" si="296"/>
        <v>3303.6965684761381</v>
      </c>
      <c r="CS90" s="28">
        <f t="shared" si="297"/>
        <v>4270.9585678018984</v>
      </c>
      <c r="CT90" s="44">
        <f t="shared" si="356"/>
        <v>0</v>
      </c>
      <c r="CU90" s="44">
        <f t="shared" si="357"/>
        <v>0</v>
      </c>
      <c r="CV90" s="44">
        <f t="shared" si="358"/>
        <v>3.9498611922297533E-2</v>
      </c>
      <c r="CW90" s="44">
        <f t="shared" si="359"/>
        <v>7.307773681531729E-2</v>
      </c>
      <c r="CX90" s="44">
        <f t="shared" si="360"/>
        <v>0.12152516523870224</v>
      </c>
      <c r="CY90" s="44">
        <f t="shared" si="361"/>
        <v>0.19001022888075067</v>
      </c>
      <c r="CZ90" s="44">
        <f t="shared" si="362"/>
        <v>0.28431012240988879</v>
      </c>
      <c r="DA90" s="44">
        <f t="shared" si="363"/>
        <v>0.41159937644167588</v>
      </c>
      <c r="DB90" s="44">
        <f t="shared" si="364"/>
        <v>0.52941245851220275</v>
      </c>
      <c r="DC90" s="44">
        <f t="shared" si="365"/>
        <v>0.66951364182433193</v>
      </c>
      <c r="DD90" s="44">
        <f t="shared" si="366"/>
        <v>0.80151789053257572</v>
      </c>
      <c r="DE90" s="44">
        <f t="shared" si="367"/>
        <v>0.93082919390277719</v>
      </c>
      <c r="DF90" s="21">
        <f t="shared" si="298"/>
        <v>0</v>
      </c>
      <c r="DG90" s="21">
        <f t="shared" si="299"/>
        <v>0</v>
      </c>
      <c r="DH90" s="21">
        <f t="shared" si="300"/>
        <v>0</v>
      </c>
      <c r="DI90" s="21">
        <f t="shared" si="301"/>
        <v>0</v>
      </c>
      <c r="DJ90" s="21">
        <f t="shared" si="302"/>
        <v>57712.766897691879</v>
      </c>
      <c r="DK90" s="21">
        <f t="shared" si="303"/>
        <v>63861.746140358213</v>
      </c>
      <c r="DL90" s="21">
        <f t="shared" si="304"/>
        <v>30450.785402296624</v>
      </c>
      <c r="DM90" s="21">
        <f t="shared" si="305"/>
        <v>14519.652024214645</v>
      </c>
      <c r="DN90" s="21">
        <f t="shared" si="306"/>
        <v>6923.3122272236706</v>
      </c>
      <c r="DO90" s="21">
        <f t="shared" si="307"/>
        <v>3301.1984113454428</v>
      </c>
      <c r="DP90" s="21">
        <f t="shared" si="308"/>
        <v>1574.0891921958357</v>
      </c>
      <c r="DQ90" s="21">
        <f t="shared" si="309"/>
        <v>1752.256856532241</v>
      </c>
      <c r="DR90" s="21">
        <f t="shared" si="310"/>
        <v>0</v>
      </c>
      <c r="DS90" s="21">
        <f t="shared" si="311"/>
        <v>5259294.9238571543</v>
      </c>
      <c r="DT90" s="21">
        <f t="shared" si="312"/>
        <v>5380534.1796483099</v>
      </c>
      <c r="DU90" s="21">
        <f t="shared" si="313"/>
        <v>4494545.6484565679</v>
      </c>
      <c r="DV90" s="13">
        <f t="shared" si="314"/>
        <v>0</v>
      </c>
      <c r="DW90" s="13">
        <f t="shared" si="315"/>
        <v>0</v>
      </c>
      <c r="DX90" s="13">
        <f t="shared" si="316"/>
        <v>0</v>
      </c>
      <c r="DY90" s="13">
        <f t="shared" si="317"/>
        <v>0</v>
      </c>
      <c r="DZ90" s="13">
        <f t="shared" si="318"/>
        <v>191553.75220347362</v>
      </c>
      <c r="EA90" s="13">
        <f t="shared" si="319"/>
        <v>308180.31661438686</v>
      </c>
      <c r="EB90" s="13">
        <f t="shared" si="320"/>
        <v>205324.99026258875</v>
      </c>
      <c r="EC90" s="13">
        <f t="shared" si="321"/>
        <v>132823.70561455452</v>
      </c>
      <c r="ED90" s="13">
        <f t="shared" si="322"/>
        <v>76862.731014916601</v>
      </c>
      <c r="EE90" s="13">
        <f t="shared" si="323"/>
        <v>43921.162350241364</v>
      </c>
      <c r="EF90" s="13">
        <f t="shared" si="324"/>
        <v>23907.174213483271</v>
      </c>
      <c r="EG90" s="13">
        <f t="shared" si="325"/>
        <v>29610.464368221543</v>
      </c>
      <c r="EH90" s="13">
        <f t="shared" si="326"/>
        <v>0</v>
      </c>
      <c r="EI90" s="13">
        <f t="shared" si="327"/>
        <v>52592.949238571542</v>
      </c>
      <c r="EJ90" s="13">
        <f t="shared" si="328"/>
        <v>107610.6835929662</v>
      </c>
      <c r="EK90" s="13">
        <f t="shared" si="329"/>
        <v>134836.36945369703</v>
      </c>
      <c r="EL90" s="21">
        <f t="shared" si="368"/>
        <v>1012184.2966418663</v>
      </c>
      <c r="EM90" s="21">
        <f t="shared" si="369"/>
        <v>295040.00228523475</v>
      </c>
      <c r="EN90" s="21">
        <f t="shared" si="330"/>
        <v>15182764449.627995</v>
      </c>
      <c r="EO90" s="21">
        <f t="shared" si="331"/>
        <v>6638400051.4177818</v>
      </c>
      <c r="EP90" s="21">
        <f t="shared" si="332"/>
        <v>12930228019.764736</v>
      </c>
      <c r="EQ90" s="21">
        <f t="shared" si="333"/>
        <v>4539324107.0009537</v>
      </c>
      <c r="ER90" s="21">
        <f t="shared" si="334"/>
        <v>166888029.67397273</v>
      </c>
      <c r="ES90" s="21">
        <f t="shared" si="335"/>
        <v>58588205.491115429</v>
      </c>
    </row>
    <row r="91" spans="1:149" x14ac:dyDescent="0.2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O91" s="3">
        <v>89</v>
      </c>
      <c r="P91" s="21">
        <f t="shared" si="380"/>
        <v>450507.28597265156</v>
      </c>
      <c r="Q91" s="21">
        <f t="shared" si="381"/>
        <v>419815.18888336571</v>
      </c>
      <c r="R91" s="13">
        <f t="shared" si="393"/>
        <v>692036.07592649513</v>
      </c>
      <c r="S91" s="13">
        <f t="shared" si="336"/>
        <v>512672.93441542686</v>
      </c>
      <c r="T91" s="13">
        <f t="shared" si="337"/>
        <v>399270.08278225211</v>
      </c>
      <c r="U91" s="13">
        <f t="shared" si="338"/>
        <v>326894.69555782439</v>
      </c>
      <c r="V91" s="13">
        <f t="shared" si="339"/>
        <v>267638.74027125863</v>
      </c>
      <c r="W91" s="13">
        <f t="shared" si="340"/>
        <v>167223.91379563807</v>
      </c>
      <c r="X91" s="13">
        <f t="shared" si="341"/>
        <v>79736.302573553694</v>
      </c>
      <c r="Y91" s="13">
        <f t="shared" si="342"/>
        <v>38020.147978782727</v>
      </c>
      <c r="Z91" s="13">
        <f t="shared" si="343"/>
        <v>18128.902465663094</v>
      </c>
      <c r="AA91" s="13">
        <f t="shared" si="344"/>
        <v>8644.2878863317292</v>
      </c>
      <c r="AB91" s="13">
        <f t="shared" si="345"/>
        <v>4121.8001587968874</v>
      </c>
      <c r="AC91" s="13">
        <f t="shared" si="346"/>
        <v>4588.3375766218405</v>
      </c>
      <c r="AD91" s="13">
        <f t="shared" si="347"/>
        <v>47617256.786133803</v>
      </c>
      <c r="AE91" s="13">
        <f t="shared" si="348"/>
        <v>32978657.533345696</v>
      </c>
      <c r="AF91" s="13">
        <f t="shared" si="349"/>
        <v>18515688.396478012</v>
      </c>
      <c r="AG91" s="13">
        <f t="shared" si="350"/>
        <v>15466792.688604724</v>
      </c>
      <c r="AH91" s="21">
        <f t="shared" si="250"/>
        <v>0</v>
      </c>
      <c r="AI91" s="21">
        <f t="shared" si="251"/>
        <v>1538.0188032462806</v>
      </c>
      <c r="AJ91" s="21">
        <f t="shared" si="252"/>
        <v>19753.361990279845</v>
      </c>
      <c r="AK91" s="21">
        <f t="shared" si="253"/>
        <v>89397.096743076589</v>
      </c>
      <c r="AL91" s="21">
        <f t="shared" si="254"/>
        <v>154751.53687473937</v>
      </c>
      <c r="AM91" s="21">
        <f t="shared" si="255"/>
        <v>135486.57520895012</v>
      </c>
      <c r="AN91" s="21">
        <f t="shared" si="256"/>
        <v>74691.932273900456</v>
      </c>
      <c r="AO91" s="21">
        <f t="shared" si="257"/>
        <v>37429.835154901622</v>
      </c>
      <c r="AP91" s="21">
        <f t="shared" si="258"/>
        <v>18030.62473124397</v>
      </c>
      <c r="AQ91" s="21">
        <f t="shared" si="259"/>
        <v>8618.3550226727348</v>
      </c>
      <c r="AR91" s="21">
        <f t="shared" si="260"/>
        <v>4121.8001587968874</v>
      </c>
      <c r="AS91" s="21">
        <f t="shared" si="261"/>
        <v>4588.3375766218405</v>
      </c>
      <c r="AT91" s="21">
        <f t="shared" si="262"/>
        <v>0</v>
      </c>
      <c r="AU91" s="21">
        <f t="shared" si="263"/>
        <v>16489328.766672848</v>
      </c>
      <c r="AV91" s="21">
        <f t="shared" si="264"/>
        <v>18515688.396478012</v>
      </c>
      <c r="AW91" s="21">
        <f t="shared" si="265"/>
        <v>15466792.688604724</v>
      </c>
      <c r="AX91" s="13">
        <f t="shared" si="351"/>
        <v>0.2</v>
      </c>
      <c r="AY91" s="13">
        <f t="shared" si="382"/>
        <v>0.6</v>
      </c>
      <c r="AZ91" s="13">
        <f t="shared" si="383"/>
        <v>1.2658</v>
      </c>
      <c r="BA91" s="13">
        <f t="shared" si="384"/>
        <v>2.1566490283456083</v>
      </c>
      <c r="BB91" s="13">
        <f t="shared" si="385"/>
        <v>3.3190880025392571</v>
      </c>
      <c r="BC91" s="13">
        <f t="shared" si="386"/>
        <v>4.8257420950729255</v>
      </c>
      <c r="BD91" s="13">
        <f t="shared" si="387"/>
        <v>6.7428471072244829</v>
      </c>
      <c r="BE91" s="13">
        <f t="shared" si="388"/>
        <v>9.1478573586366174</v>
      </c>
      <c r="BF91" s="13">
        <f t="shared" si="389"/>
        <v>11.102017140391171</v>
      </c>
      <c r="BG91" s="13">
        <f t="shared" si="390"/>
        <v>13.30461150087039</v>
      </c>
      <c r="BH91" s="13">
        <f t="shared" si="391"/>
        <v>15.187941275508821</v>
      </c>
      <c r="BI91" s="13">
        <f t="shared" si="392"/>
        <v>16.898472537195094</v>
      </c>
      <c r="BJ91" s="13">
        <f t="shared" si="266"/>
        <v>4.0000000000000001E-3</v>
      </c>
      <c r="BK91" s="13">
        <f t="shared" si="267"/>
        <v>0.01</v>
      </c>
      <c r="BL91" s="13">
        <f t="shared" si="268"/>
        <v>0.02</v>
      </c>
      <c r="BM91" s="13">
        <f t="shared" si="269"/>
        <v>0.03</v>
      </c>
      <c r="BN91" s="30">
        <f t="shared" si="352"/>
        <v>4693566.6069656899</v>
      </c>
      <c r="BO91" s="30">
        <f t="shared" si="353"/>
        <v>1354573.1510656942</v>
      </c>
      <c r="BP91" s="30">
        <f t="shared" si="354"/>
        <v>2687198.8153186534</v>
      </c>
      <c r="BQ91" s="30">
        <f t="shared" si="355"/>
        <v>999210.83625443047</v>
      </c>
      <c r="BR91" s="36">
        <f t="shared" si="270"/>
        <v>0.3</v>
      </c>
      <c r="BS91" s="36">
        <f t="shared" si="271"/>
        <v>0.25</v>
      </c>
      <c r="BT91" s="36">
        <f t="shared" si="272"/>
        <v>0.2</v>
      </c>
      <c r="BU91" s="36">
        <f t="shared" si="273"/>
        <v>0.2</v>
      </c>
      <c r="BV91" s="36">
        <f t="shared" si="274"/>
        <v>0.2</v>
      </c>
      <c r="BW91" s="36">
        <f t="shared" si="275"/>
        <v>0.2</v>
      </c>
      <c r="BX91" s="36">
        <f t="shared" si="276"/>
        <v>0.2</v>
      </c>
      <c r="BY91" s="36">
        <f t="shared" si="277"/>
        <v>0.2</v>
      </c>
      <c r="BZ91" s="36">
        <f t="shared" si="278"/>
        <v>0.2</v>
      </c>
      <c r="CA91" s="36">
        <f t="shared" si="279"/>
        <v>0.2</v>
      </c>
      <c r="CB91" s="36">
        <f t="shared" si="280"/>
        <v>0.2</v>
      </c>
      <c r="CC91" s="36">
        <f t="shared" si="281"/>
        <v>0.2</v>
      </c>
      <c r="CD91" s="35">
        <f t="shared" si="282"/>
        <v>0.36733462223506552</v>
      </c>
      <c r="CE91" s="35">
        <f t="shared" si="283"/>
        <v>0.36733462223506552</v>
      </c>
      <c r="CF91" s="35">
        <f t="shared" si="284"/>
        <v>0.36733462223506552</v>
      </c>
      <c r="CG91" s="35">
        <f t="shared" si="285"/>
        <v>0.36733462223506552</v>
      </c>
      <c r="CH91" s="28">
        <f t="shared" si="286"/>
        <v>0</v>
      </c>
      <c r="CI91" s="28">
        <f t="shared" si="287"/>
        <v>0</v>
      </c>
      <c r="CJ91" s="28">
        <f t="shared" si="288"/>
        <v>15770.614052000401</v>
      </c>
      <c r="CK91" s="28">
        <f t="shared" si="289"/>
        <v>23888.724528298888</v>
      </c>
      <c r="CL91" s="28">
        <f t="shared" si="290"/>
        <v>32524.842135744075</v>
      </c>
      <c r="CM91" s="28">
        <f t="shared" si="291"/>
        <v>31774.254134645336</v>
      </c>
      <c r="CN91" s="28">
        <f t="shared" si="292"/>
        <v>22669.837945199863</v>
      </c>
      <c r="CO91" s="28">
        <f t="shared" si="293"/>
        <v>15649.069200287824</v>
      </c>
      <c r="CP91" s="28">
        <f t="shared" si="294"/>
        <v>9597.6668244750035</v>
      </c>
      <c r="CQ91" s="28">
        <f t="shared" si="295"/>
        <v>5787.4686637561363</v>
      </c>
      <c r="CR91" s="28">
        <f t="shared" si="296"/>
        <v>3303.6965684758452</v>
      </c>
      <c r="CS91" s="28">
        <f t="shared" si="297"/>
        <v>4270.9585678008962</v>
      </c>
      <c r="CT91" s="44">
        <f t="shared" si="356"/>
        <v>0</v>
      </c>
      <c r="CU91" s="44">
        <f t="shared" si="357"/>
        <v>0</v>
      </c>
      <c r="CV91" s="44">
        <f t="shared" si="358"/>
        <v>3.9498611922299073E-2</v>
      </c>
      <c r="CW91" s="44">
        <f t="shared" si="359"/>
        <v>7.3077736815320121E-2</v>
      </c>
      <c r="CX91" s="44">
        <f t="shared" si="360"/>
        <v>0.12152516523870693</v>
      </c>
      <c r="CY91" s="44">
        <f t="shared" si="361"/>
        <v>0.190010228880758</v>
      </c>
      <c r="CZ91" s="44">
        <f t="shared" si="362"/>
        <v>0.28431012240989983</v>
      </c>
      <c r="DA91" s="44">
        <f t="shared" si="363"/>
        <v>0.41159937644169192</v>
      </c>
      <c r="DB91" s="44">
        <f t="shared" si="364"/>
        <v>0.52941245851222318</v>
      </c>
      <c r="DC91" s="44">
        <f t="shared" si="365"/>
        <v>0.6695136418243578</v>
      </c>
      <c r="DD91" s="44">
        <f t="shared" si="366"/>
        <v>0.80151789053260691</v>
      </c>
      <c r="DE91" s="44">
        <f t="shared" si="367"/>
        <v>0.93082919390281338</v>
      </c>
      <c r="DF91" s="21">
        <f t="shared" si="298"/>
        <v>0</v>
      </c>
      <c r="DG91" s="21">
        <f t="shared" si="299"/>
        <v>0</v>
      </c>
      <c r="DH91" s="21">
        <f t="shared" si="300"/>
        <v>0</v>
      </c>
      <c r="DI91" s="21">
        <f t="shared" si="301"/>
        <v>0</v>
      </c>
      <c r="DJ91" s="21">
        <f t="shared" si="302"/>
        <v>57712.766897690839</v>
      </c>
      <c r="DK91" s="21">
        <f t="shared" si="303"/>
        <v>63861.746140356619</v>
      </c>
      <c r="DL91" s="21">
        <f t="shared" si="304"/>
        <v>30450.78540229558</v>
      </c>
      <c r="DM91" s="21">
        <f t="shared" si="305"/>
        <v>14519.652024213949</v>
      </c>
      <c r="DN91" s="21">
        <f t="shared" si="306"/>
        <v>6923.312227223214</v>
      </c>
      <c r="DO91" s="21">
        <f t="shared" si="307"/>
        <v>3301.1984113451381</v>
      </c>
      <c r="DP91" s="21">
        <f t="shared" si="308"/>
        <v>1574.089192195635</v>
      </c>
      <c r="DQ91" s="21">
        <f t="shared" si="309"/>
        <v>1752.2568565317617</v>
      </c>
      <c r="DR91" s="21">
        <f t="shared" si="310"/>
        <v>0</v>
      </c>
      <c r="DS91" s="21">
        <f t="shared" si="311"/>
        <v>5259294.9238572381</v>
      </c>
      <c r="DT91" s="21">
        <f t="shared" si="312"/>
        <v>5380534.1796484664</v>
      </c>
      <c r="DU91" s="21">
        <f t="shared" si="313"/>
        <v>4494545.6484569302</v>
      </c>
      <c r="DV91" s="13">
        <f t="shared" si="314"/>
        <v>0</v>
      </c>
      <c r="DW91" s="13">
        <f t="shared" si="315"/>
        <v>0</v>
      </c>
      <c r="DX91" s="13">
        <f t="shared" si="316"/>
        <v>0</v>
      </c>
      <c r="DY91" s="13">
        <f t="shared" si="317"/>
        <v>0</v>
      </c>
      <c r="DZ91" s="13">
        <f t="shared" si="318"/>
        <v>191553.75220347045</v>
      </c>
      <c r="EA91" s="13">
        <f t="shared" si="319"/>
        <v>308180.31661437987</v>
      </c>
      <c r="EB91" s="13">
        <f t="shared" si="320"/>
        <v>205324.99026258226</v>
      </c>
      <c r="EC91" s="13">
        <f t="shared" si="321"/>
        <v>132823.70561454861</v>
      </c>
      <c r="ED91" s="13">
        <f t="shared" si="322"/>
        <v>76862.7310149119</v>
      </c>
      <c r="EE91" s="13">
        <f t="shared" si="323"/>
        <v>43921.162350237588</v>
      </c>
      <c r="EF91" s="13">
        <f t="shared" si="324"/>
        <v>23907.174213480423</v>
      </c>
      <c r="EG91" s="13">
        <f t="shared" si="325"/>
        <v>29610.464368213779</v>
      </c>
      <c r="EH91" s="13">
        <f t="shared" si="326"/>
        <v>0</v>
      </c>
      <c r="EI91" s="13">
        <f t="shared" si="327"/>
        <v>52592.949238572386</v>
      </c>
      <c r="EJ91" s="13">
        <f t="shared" si="328"/>
        <v>107610.68359296933</v>
      </c>
      <c r="EK91" s="13">
        <f t="shared" si="329"/>
        <v>134836.36945370791</v>
      </c>
      <c r="EL91" s="21">
        <f t="shared" si="368"/>
        <v>1012184.296641825</v>
      </c>
      <c r="EM91" s="21">
        <f t="shared" si="369"/>
        <v>295040.00228524965</v>
      </c>
      <c r="EN91" s="21">
        <f t="shared" si="330"/>
        <v>15182764449.627375</v>
      </c>
      <c r="EO91" s="21">
        <f t="shared" si="331"/>
        <v>6638400051.4181175</v>
      </c>
      <c r="EP91" s="21">
        <f t="shared" si="332"/>
        <v>12930228019.764116</v>
      </c>
      <c r="EQ91" s="21">
        <f t="shared" si="333"/>
        <v>4539324107.0012894</v>
      </c>
      <c r="ER91" s="21">
        <f t="shared" si="334"/>
        <v>158748804.42282355</v>
      </c>
      <c r="ES91" s="21">
        <f t="shared" si="335"/>
        <v>55730824.991847426</v>
      </c>
    </row>
    <row r="92" spans="1:149" x14ac:dyDescent="0.2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O92" s="3">
        <v>90</v>
      </c>
      <c r="P92" s="21">
        <f t="shared" si="380"/>
        <v>450507.28597265156</v>
      </c>
      <c r="Q92" s="21">
        <f t="shared" si="381"/>
        <v>419815.18888336571</v>
      </c>
      <c r="R92" s="13">
        <f t="shared" si="393"/>
        <v>692036.07592649281</v>
      </c>
      <c r="S92" s="13">
        <f t="shared" si="336"/>
        <v>512672.93441542436</v>
      </c>
      <c r="T92" s="13">
        <f t="shared" si="337"/>
        <v>399270.08278224943</v>
      </c>
      <c r="U92" s="13">
        <f t="shared" si="338"/>
        <v>326894.69555782143</v>
      </c>
      <c r="V92" s="13">
        <f t="shared" si="339"/>
        <v>267638.74027125514</v>
      </c>
      <c r="W92" s="13">
        <f t="shared" si="340"/>
        <v>167223.91379563508</v>
      </c>
      <c r="X92" s="13">
        <f t="shared" si="341"/>
        <v>79736.302573551715</v>
      </c>
      <c r="Y92" s="13">
        <f t="shared" si="342"/>
        <v>38020.147978781424</v>
      </c>
      <c r="Z92" s="13">
        <f t="shared" si="343"/>
        <v>18128.902465662224</v>
      </c>
      <c r="AA92" s="13">
        <f t="shared" si="344"/>
        <v>8644.2878863311598</v>
      </c>
      <c r="AB92" s="13">
        <f t="shared" si="345"/>
        <v>4121.8001587965082</v>
      </c>
      <c r="AC92" s="13">
        <f t="shared" si="346"/>
        <v>4588.3375766209356</v>
      </c>
      <c r="AD92" s="13">
        <f t="shared" si="347"/>
        <v>47617256.786133923</v>
      </c>
      <c r="AE92" s="13">
        <f t="shared" si="348"/>
        <v>32978657.533345997</v>
      </c>
      <c r="AF92" s="13">
        <f t="shared" si="349"/>
        <v>18515688.39647837</v>
      </c>
      <c r="AG92" s="13">
        <f t="shared" si="350"/>
        <v>15466792.688605595</v>
      </c>
      <c r="AH92" s="21">
        <f t="shared" si="250"/>
        <v>0</v>
      </c>
      <c r="AI92" s="21">
        <f t="shared" si="251"/>
        <v>1538.0188032462731</v>
      </c>
      <c r="AJ92" s="21">
        <f t="shared" si="252"/>
        <v>19753.361990279711</v>
      </c>
      <c r="AK92" s="21">
        <f t="shared" si="253"/>
        <v>89397.096743075774</v>
      </c>
      <c r="AL92" s="21">
        <f t="shared" si="254"/>
        <v>154751.53687473736</v>
      </c>
      <c r="AM92" s="21">
        <f t="shared" si="255"/>
        <v>135486.57520894767</v>
      </c>
      <c r="AN92" s="21">
        <f t="shared" si="256"/>
        <v>74691.932273898608</v>
      </c>
      <c r="AO92" s="21">
        <f t="shared" si="257"/>
        <v>37429.835154900342</v>
      </c>
      <c r="AP92" s="21">
        <f t="shared" si="258"/>
        <v>18030.624731243108</v>
      </c>
      <c r="AQ92" s="21">
        <f t="shared" si="259"/>
        <v>8618.3550226721673</v>
      </c>
      <c r="AR92" s="21">
        <f t="shared" si="260"/>
        <v>4121.8001587965082</v>
      </c>
      <c r="AS92" s="21">
        <f t="shared" si="261"/>
        <v>4588.3375766209356</v>
      </c>
      <c r="AT92" s="21">
        <f t="shared" si="262"/>
        <v>0</v>
      </c>
      <c r="AU92" s="21">
        <f t="shared" si="263"/>
        <v>16489328.766672999</v>
      </c>
      <c r="AV92" s="21">
        <f t="shared" si="264"/>
        <v>18515688.39647837</v>
      </c>
      <c r="AW92" s="21">
        <f t="shared" si="265"/>
        <v>15466792.688605595</v>
      </c>
      <c r="AX92" s="13">
        <f t="shared" si="351"/>
        <v>0.2</v>
      </c>
      <c r="AY92" s="13">
        <f t="shared" si="382"/>
        <v>0.6</v>
      </c>
      <c r="AZ92" s="13">
        <f t="shared" si="383"/>
        <v>1.2658</v>
      </c>
      <c r="BA92" s="13">
        <f t="shared" si="384"/>
        <v>2.1566490283456092</v>
      </c>
      <c r="BB92" s="13">
        <f t="shared" si="385"/>
        <v>3.3190880025392602</v>
      </c>
      <c r="BC92" s="13">
        <f t="shared" si="386"/>
        <v>4.8257420950729335</v>
      </c>
      <c r="BD92" s="13">
        <f t="shared" si="387"/>
        <v>6.7428471072244971</v>
      </c>
      <c r="BE92" s="13">
        <f t="shared" si="388"/>
        <v>9.1478573586366405</v>
      </c>
      <c r="BF92" s="13">
        <f t="shared" si="389"/>
        <v>11.10201714039121</v>
      </c>
      <c r="BG92" s="13">
        <f t="shared" si="390"/>
        <v>13.304611500870449</v>
      </c>
      <c r="BH92" s="13">
        <f t="shared" si="391"/>
        <v>15.187941275508914</v>
      </c>
      <c r="BI92" s="13">
        <f t="shared" si="392"/>
        <v>16.898472537195232</v>
      </c>
      <c r="BJ92" s="13">
        <f t="shared" si="266"/>
        <v>4.0000000000000001E-3</v>
      </c>
      <c r="BK92" s="13">
        <f t="shared" si="267"/>
        <v>0.01</v>
      </c>
      <c r="BL92" s="13">
        <f t="shared" si="268"/>
        <v>0.02</v>
      </c>
      <c r="BM92" s="13">
        <f t="shared" si="269"/>
        <v>0.03</v>
      </c>
      <c r="BN92" s="30">
        <f t="shared" si="352"/>
        <v>4693566.6069655959</v>
      </c>
      <c r="BO92" s="30">
        <f t="shared" si="353"/>
        <v>1354573.151065731</v>
      </c>
      <c r="BP92" s="30">
        <f t="shared" si="354"/>
        <v>2687198.8153185756</v>
      </c>
      <c r="BQ92" s="30">
        <f t="shared" si="355"/>
        <v>999210.83625446516</v>
      </c>
      <c r="BR92" s="36">
        <f t="shared" si="270"/>
        <v>0.3</v>
      </c>
      <c r="BS92" s="36">
        <f t="shared" si="271"/>
        <v>0.25</v>
      </c>
      <c r="BT92" s="36">
        <f t="shared" si="272"/>
        <v>0.2</v>
      </c>
      <c r="BU92" s="36">
        <f t="shared" si="273"/>
        <v>0.2</v>
      </c>
      <c r="BV92" s="36">
        <f t="shared" si="274"/>
        <v>0.2</v>
      </c>
      <c r="BW92" s="36">
        <f t="shared" si="275"/>
        <v>0.2</v>
      </c>
      <c r="BX92" s="36">
        <f t="shared" si="276"/>
        <v>0.2</v>
      </c>
      <c r="BY92" s="36">
        <f t="shared" si="277"/>
        <v>0.2</v>
      </c>
      <c r="BZ92" s="36">
        <f t="shared" si="278"/>
        <v>0.2</v>
      </c>
      <c r="CA92" s="36">
        <f t="shared" si="279"/>
        <v>0.2</v>
      </c>
      <c r="CB92" s="36">
        <f t="shared" si="280"/>
        <v>0.2</v>
      </c>
      <c r="CC92" s="36">
        <f t="shared" si="281"/>
        <v>0.2</v>
      </c>
      <c r="CD92" s="35">
        <f t="shared" si="282"/>
        <v>0.36733462223506108</v>
      </c>
      <c r="CE92" s="35">
        <f t="shared" si="283"/>
        <v>0.36733462223506108</v>
      </c>
      <c r="CF92" s="35">
        <f t="shared" si="284"/>
        <v>0.36733462223506108</v>
      </c>
      <c r="CG92" s="35">
        <f t="shared" si="285"/>
        <v>0.36733462223506108</v>
      </c>
      <c r="CH92" s="28">
        <f t="shared" si="286"/>
        <v>0</v>
      </c>
      <c r="CI92" s="28">
        <f t="shared" si="287"/>
        <v>0</v>
      </c>
      <c r="CJ92" s="28">
        <f t="shared" si="288"/>
        <v>15770.614052000738</v>
      </c>
      <c r="CK92" s="28">
        <f t="shared" si="289"/>
        <v>23888.724528299339</v>
      </c>
      <c r="CL92" s="28">
        <f t="shared" si="290"/>
        <v>32524.842135744562</v>
      </c>
      <c r="CM92" s="28">
        <f t="shared" si="291"/>
        <v>31774.254134645664</v>
      </c>
      <c r="CN92" s="28">
        <f t="shared" si="292"/>
        <v>22669.837945199935</v>
      </c>
      <c r="CO92" s="28">
        <f t="shared" si="293"/>
        <v>15649.069200287722</v>
      </c>
      <c r="CP92" s="28">
        <f t="shared" si="294"/>
        <v>9597.6668244748143</v>
      </c>
      <c r="CQ92" s="28">
        <f t="shared" si="295"/>
        <v>5787.468663755918</v>
      </c>
      <c r="CR92" s="28">
        <f t="shared" si="296"/>
        <v>3303.6965684756346</v>
      </c>
      <c r="CS92" s="28">
        <f t="shared" si="297"/>
        <v>4270.958567800174</v>
      </c>
      <c r="CT92" s="44">
        <f t="shared" si="356"/>
        <v>0</v>
      </c>
      <c r="CU92" s="44">
        <f t="shared" si="357"/>
        <v>0</v>
      </c>
      <c r="CV92" s="44">
        <f t="shared" si="358"/>
        <v>3.9498611922300184E-2</v>
      </c>
      <c r="CW92" s="44">
        <f t="shared" si="359"/>
        <v>7.3077736815322175E-2</v>
      </c>
      <c r="CX92" s="44">
        <f t="shared" si="360"/>
        <v>0.12152516523871035</v>
      </c>
      <c r="CY92" s="44">
        <f t="shared" si="361"/>
        <v>0.19001022888076338</v>
      </c>
      <c r="CZ92" s="44">
        <f t="shared" si="362"/>
        <v>0.28431012240990783</v>
      </c>
      <c r="DA92" s="44">
        <f t="shared" si="363"/>
        <v>0.41159937644170336</v>
      </c>
      <c r="DB92" s="44">
        <f t="shared" si="364"/>
        <v>0.52941245851223817</v>
      </c>
      <c r="DC92" s="44">
        <f t="shared" si="365"/>
        <v>0.66951364182437667</v>
      </c>
      <c r="DD92" s="44">
        <f t="shared" si="366"/>
        <v>0.80151789053262956</v>
      </c>
      <c r="DE92" s="44">
        <f t="shared" si="367"/>
        <v>0.93082919390283958</v>
      </c>
      <c r="DF92" s="21">
        <f t="shared" si="298"/>
        <v>0</v>
      </c>
      <c r="DG92" s="21">
        <f t="shared" si="299"/>
        <v>0</v>
      </c>
      <c r="DH92" s="21">
        <f t="shared" si="300"/>
        <v>0</v>
      </c>
      <c r="DI92" s="21">
        <f t="shared" si="301"/>
        <v>0</v>
      </c>
      <c r="DJ92" s="21">
        <f t="shared" si="302"/>
        <v>57712.766897690082</v>
      </c>
      <c r="DK92" s="21">
        <f t="shared" si="303"/>
        <v>63861.746140355477</v>
      </c>
      <c r="DL92" s="21">
        <f t="shared" si="304"/>
        <v>30450.785402294823</v>
      </c>
      <c r="DM92" s="21">
        <f t="shared" si="305"/>
        <v>14519.652024213452</v>
      </c>
      <c r="DN92" s="21">
        <f t="shared" si="306"/>
        <v>6923.3122272228811</v>
      </c>
      <c r="DO92" s="21">
        <f t="shared" si="307"/>
        <v>3301.1984113449207</v>
      </c>
      <c r="DP92" s="21">
        <f t="shared" si="308"/>
        <v>1574.0891921954901</v>
      </c>
      <c r="DQ92" s="21">
        <f t="shared" si="309"/>
        <v>1752.2568565314159</v>
      </c>
      <c r="DR92" s="21">
        <f t="shared" si="310"/>
        <v>0</v>
      </c>
      <c r="DS92" s="21">
        <f t="shared" si="311"/>
        <v>5259294.9238572968</v>
      </c>
      <c r="DT92" s="21">
        <f t="shared" si="312"/>
        <v>5380534.1796485819</v>
      </c>
      <c r="DU92" s="21">
        <f t="shared" si="313"/>
        <v>4494545.6484571919</v>
      </c>
      <c r="DV92" s="13">
        <f t="shared" si="314"/>
        <v>0</v>
      </c>
      <c r="DW92" s="13">
        <f t="shared" si="315"/>
        <v>0</v>
      </c>
      <c r="DX92" s="13">
        <f t="shared" si="316"/>
        <v>0</v>
      </c>
      <c r="DY92" s="13">
        <f t="shared" si="317"/>
        <v>0</v>
      </c>
      <c r="DZ92" s="13">
        <f t="shared" si="318"/>
        <v>191553.75220346812</v>
      </c>
      <c r="EA92" s="13">
        <f t="shared" si="319"/>
        <v>308180.31661437487</v>
      </c>
      <c r="EB92" s="13">
        <f t="shared" si="320"/>
        <v>205324.9902625776</v>
      </c>
      <c r="EC92" s="13">
        <f t="shared" si="321"/>
        <v>132823.70561454442</v>
      </c>
      <c r="ED92" s="13">
        <f t="shared" si="322"/>
        <v>76862.731014908466</v>
      </c>
      <c r="EE92" s="13">
        <f t="shared" si="323"/>
        <v>43921.162350234888</v>
      </c>
      <c r="EF92" s="13">
        <f t="shared" si="324"/>
        <v>23907.174213478367</v>
      </c>
      <c r="EG92" s="13">
        <f t="shared" si="325"/>
        <v>29610.464368208177</v>
      </c>
      <c r="EH92" s="13">
        <f t="shared" si="326"/>
        <v>0</v>
      </c>
      <c r="EI92" s="13">
        <f t="shared" si="327"/>
        <v>52592.949238572968</v>
      </c>
      <c r="EJ92" s="13">
        <f t="shared" si="328"/>
        <v>107610.68359297165</v>
      </c>
      <c r="EK92" s="13">
        <f t="shared" si="329"/>
        <v>134836.36945371574</v>
      </c>
      <c r="EL92" s="21">
        <f t="shared" si="368"/>
        <v>1012184.296641795</v>
      </c>
      <c r="EM92" s="21">
        <f t="shared" si="369"/>
        <v>295040.00228526036</v>
      </c>
      <c r="EN92" s="21">
        <f t="shared" si="330"/>
        <v>15182764449.626925</v>
      </c>
      <c r="EO92" s="21">
        <f t="shared" si="331"/>
        <v>6638400051.4183578</v>
      </c>
      <c r="EP92" s="21">
        <f t="shared" si="332"/>
        <v>12930228019.763666</v>
      </c>
      <c r="EQ92" s="21">
        <f t="shared" si="333"/>
        <v>4539324107.0015297</v>
      </c>
      <c r="ER92" s="21">
        <f t="shared" si="334"/>
        <v>151006533.87129363</v>
      </c>
      <c r="ES92" s="21">
        <f t="shared" si="335"/>
        <v>53012800.583947852</v>
      </c>
    </row>
    <row r="93" spans="1:149" x14ac:dyDescent="0.2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O93" s="3">
        <v>91</v>
      </c>
      <c r="P93" s="21">
        <f t="shared" si="380"/>
        <v>450507.28597265156</v>
      </c>
      <c r="Q93" s="21">
        <f t="shared" si="381"/>
        <v>419815.18888336571</v>
      </c>
      <c r="R93" s="13">
        <f t="shared" si="393"/>
        <v>692036.07592649106</v>
      </c>
      <c r="S93" s="13">
        <f t="shared" si="336"/>
        <v>512672.93441542261</v>
      </c>
      <c r="T93" s="13">
        <f t="shared" si="337"/>
        <v>399270.08278224751</v>
      </c>
      <c r="U93" s="13">
        <f t="shared" si="338"/>
        <v>326894.69555781921</v>
      </c>
      <c r="V93" s="13">
        <f t="shared" si="339"/>
        <v>267638.74027125275</v>
      </c>
      <c r="W93" s="13">
        <f t="shared" si="340"/>
        <v>167223.91379563289</v>
      </c>
      <c r="X93" s="13">
        <f t="shared" si="341"/>
        <v>79736.302573550289</v>
      </c>
      <c r="Y93" s="13">
        <f t="shared" si="342"/>
        <v>38020.147978780478</v>
      </c>
      <c r="Z93" s="13">
        <f t="shared" si="343"/>
        <v>18128.902465661602</v>
      </c>
      <c r="AA93" s="13">
        <f t="shared" si="344"/>
        <v>8644.2878863307451</v>
      </c>
      <c r="AB93" s="13">
        <f t="shared" si="345"/>
        <v>4121.8001587962362</v>
      </c>
      <c r="AC93" s="13">
        <f t="shared" si="346"/>
        <v>4588.3375766202835</v>
      </c>
      <c r="AD93" s="13">
        <f t="shared" si="347"/>
        <v>47617256.786133997</v>
      </c>
      <c r="AE93" s="13">
        <f t="shared" si="348"/>
        <v>32978657.533346228</v>
      </c>
      <c r="AF93" s="13">
        <f t="shared" si="349"/>
        <v>18515688.396478619</v>
      </c>
      <c r="AG93" s="13">
        <f t="shared" si="350"/>
        <v>15466792.688606221</v>
      </c>
      <c r="AH93" s="21">
        <f t="shared" si="250"/>
        <v>0</v>
      </c>
      <c r="AI93" s="21">
        <f t="shared" si="251"/>
        <v>1538.0188032462679</v>
      </c>
      <c r="AJ93" s="21">
        <f t="shared" si="252"/>
        <v>19753.361990279616</v>
      </c>
      <c r="AK93" s="21">
        <f t="shared" si="253"/>
        <v>89397.096743075177</v>
      </c>
      <c r="AL93" s="21">
        <f t="shared" si="254"/>
        <v>154751.53687473596</v>
      </c>
      <c r="AM93" s="21">
        <f t="shared" si="255"/>
        <v>135486.57520894593</v>
      </c>
      <c r="AN93" s="21">
        <f t="shared" si="256"/>
        <v>74691.93227389727</v>
      </c>
      <c r="AO93" s="21">
        <f t="shared" si="257"/>
        <v>37429.835154899411</v>
      </c>
      <c r="AP93" s="21">
        <f t="shared" si="258"/>
        <v>18030.624731242489</v>
      </c>
      <c r="AQ93" s="21">
        <f t="shared" si="259"/>
        <v>8618.3550226717543</v>
      </c>
      <c r="AR93" s="21">
        <f t="shared" si="260"/>
        <v>4121.8001587962362</v>
      </c>
      <c r="AS93" s="21">
        <f t="shared" si="261"/>
        <v>4588.3375766202835</v>
      </c>
      <c r="AT93" s="21">
        <f t="shared" si="262"/>
        <v>0</v>
      </c>
      <c r="AU93" s="21">
        <f t="shared" si="263"/>
        <v>16489328.766673114</v>
      </c>
      <c r="AV93" s="21">
        <f t="shared" si="264"/>
        <v>18515688.396478619</v>
      </c>
      <c r="AW93" s="21">
        <f t="shared" si="265"/>
        <v>15466792.688606221</v>
      </c>
      <c r="AX93" s="13">
        <f t="shared" si="351"/>
        <v>0.2</v>
      </c>
      <c r="AY93" s="13">
        <f t="shared" si="382"/>
        <v>0.6</v>
      </c>
      <c r="AZ93" s="13">
        <f t="shared" si="383"/>
        <v>1.2658</v>
      </c>
      <c r="BA93" s="13">
        <f t="shared" si="384"/>
        <v>2.1566490283456101</v>
      </c>
      <c r="BB93" s="13">
        <f t="shared" si="385"/>
        <v>3.3190880025392624</v>
      </c>
      <c r="BC93" s="13">
        <f t="shared" si="386"/>
        <v>4.8257420950729379</v>
      </c>
      <c r="BD93" s="13">
        <f t="shared" si="387"/>
        <v>6.7428471072245078</v>
      </c>
      <c r="BE93" s="13">
        <f t="shared" si="388"/>
        <v>9.1478573586366583</v>
      </c>
      <c r="BF93" s="13">
        <f t="shared" si="389"/>
        <v>11.102017140391236</v>
      </c>
      <c r="BG93" s="13">
        <f t="shared" si="390"/>
        <v>13.304611500870493</v>
      </c>
      <c r="BH93" s="13">
        <f t="shared" si="391"/>
        <v>15.18794127550898</v>
      </c>
      <c r="BI93" s="13">
        <f t="shared" si="392"/>
        <v>16.898472537195332</v>
      </c>
      <c r="BJ93" s="13">
        <f t="shared" si="266"/>
        <v>4.0000000000000001E-3</v>
      </c>
      <c r="BK93" s="13">
        <f t="shared" si="267"/>
        <v>0.01</v>
      </c>
      <c r="BL93" s="13">
        <f t="shared" si="268"/>
        <v>0.02</v>
      </c>
      <c r="BM93" s="13">
        <f t="shared" si="269"/>
        <v>0.03</v>
      </c>
      <c r="BN93" s="30">
        <f t="shared" si="352"/>
        <v>4693566.6069655269</v>
      </c>
      <c r="BO93" s="30">
        <f t="shared" si="353"/>
        <v>1354573.1510657573</v>
      </c>
      <c r="BP93" s="30">
        <f t="shared" si="354"/>
        <v>2687198.8153185206</v>
      </c>
      <c r="BQ93" s="30">
        <f t="shared" si="355"/>
        <v>999210.83625449019</v>
      </c>
      <c r="BR93" s="36">
        <f t="shared" si="270"/>
        <v>0.3</v>
      </c>
      <c r="BS93" s="36">
        <f t="shared" si="271"/>
        <v>0.25</v>
      </c>
      <c r="BT93" s="36">
        <f t="shared" si="272"/>
        <v>0.2</v>
      </c>
      <c r="BU93" s="36">
        <f t="shared" si="273"/>
        <v>0.2</v>
      </c>
      <c r="BV93" s="36">
        <f t="shared" si="274"/>
        <v>0.2</v>
      </c>
      <c r="BW93" s="36">
        <f t="shared" si="275"/>
        <v>0.2</v>
      </c>
      <c r="BX93" s="36">
        <f t="shared" si="276"/>
        <v>0.2</v>
      </c>
      <c r="BY93" s="36">
        <f t="shared" si="277"/>
        <v>0.2</v>
      </c>
      <c r="BZ93" s="36">
        <f t="shared" si="278"/>
        <v>0.2</v>
      </c>
      <c r="CA93" s="36">
        <f t="shared" si="279"/>
        <v>0.2</v>
      </c>
      <c r="CB93" s="36">
        <f t="shared" si="280"/>
        <v>0.2</v>
      </c>
      <c r="CC93" s="36">
        <f t="shared" si="281"/>
        <v>0.2</v>
      </c>
      <c r="CD93" s="35">
        <f t="shared" si="282"/>
        <v>0.36733462223505792</v>
      </c>
      <c r="CE93" s="35">
        <f t="shared" si="283"/>
        <v>0.36733462223505792</v>
      </c>
      <c r="CF93" s="35">
        <f t="shared" si="284"/>
        <v>0.36733462223505792</v>
      </c>
      <c r="CG93" s="35">
        <f t="shared" si="285"/>
        <v>0.36733462223505792</v>
      </c>
      <c r="CH93" s="28">
        <f t="shared" si="286"/>
        <v>0</v>
      </c>
      <c r="CI93" s="28">
        <f t="shared" si="287"/>
        <v>0</v>
      </c>
      <c r="CJ93" s="28">
        <f t="shared" si="288"/>
        <v>15770.614052000979</v>
      </c>
      <c r="CK93" s="28">
        <f t="shared" si="289"/>
        <v>23888.724528299656</v>
      </c>
      <c r="CL93" s="28">
        <f t="shared" si="290"/>
        <v>32524.842135744933</v>
      </c>
      <c r="CM93" s="28">
        <f t="shared" si="291"/>
        <v>31774.254134645882</v>
      </c>
      <c r="CN93" s="28">
        <f t="shared" si="292"/>
        <v>22669.83794519999</v>
      </c>
      <c r="CO93" s="28">
        <f t="shared" si="293"/>
        <v>15649.069200287653</v>
      </c>
      <c r="CP93" s="28">
        <f t="shared" si="294"/>
        <v>9597.6668244746761</v>
      </c>
      <c r="CQ93" s="28">
        <f t="shared" si="295"/>
        <v>5787.468663755757</v>
      </c>
      <c r="CR93" s="28">
        <f t="shared" si="296"/>
        <v>3303.6965684754832</v>
      </c>
      <c r="CS93" s="28">
        <f t="shared" si="297"/>
        <v>4270.9585677996529</v>
      </c>
      <c r="CT93" s="44">
        <f t="shared" si="356"/>
        <v>0</v>
      </c>
      <c r="CU93" s="44">
        <f t="shared" si="357"/>
        <v>0</v>
      </c>
      <c r="CV93" s="44">
        <f t="shared" si="358"/>
        <v>3.9498611922300975E-2</v>
      </c>
      <c r="CW93" s="44">
        <f t="shared" si="359"/>
        <v>7.3077736815323632E-2</v>
      </c>
      <c r="CX93" s="44">
        <f t="shared" si="360"/>
        <v>0.12152516523871282</v>
      </c>
      <c r="CY93" s="44">
        <f t="shared" si="361"/>
        <v>0.19001022888076716</v>
      </c>
      <c r="CZ93" s="44">
        <f t="shared" si="362"/>
        <v>0.2843101224099136</v>
      </c>
      <c r="DA93" s="44">
        <f t="shared" si="363"/>
        <v>0.4115993764417118</v>
      </c>
      <c r="DB93" s="44">
        <f t="shared" si="364"/>
        <v>0.52941245851224872</v>
      </c>
      <c r="DC93" s="44">
        <f t="shared" si="365"/>
        <v>0.6695136418243901</v>
      </c>
      <c r="DD93" s="44">
        <f t="shared" si="366"/>
        <v>0.80151789053264566</v>
      </c>
      <c r="DE93" s="44">
        <f t="shared" si="367"/>
        <v>0.93082919390285834</v>
      </c>
      <c r="DF93" s="21">
        <f t="shared" si="298"/>
        <v>0</v>
      </c>
      <c r="DG93" s="21">
        <f t="shared" si="299"/>
        <v>0</v>
      </c>
      <c r="DH93" s="21">
        <f t="shared" si="300"/>
        <v>0</v>
      </c>
      <c r="DI93" s="21">
        <f t="shared" si="301"/>
        <v>0</v>
      </c>
      <c r="DJ93" s="21">
        <f t="shared" si="302"/>
        <v>57712.766897689573</v>
      </c>
      <c r="DK93" s="21">
        <f t="shared" si="303"/>
        <v>63861.74614035464</v>
      </c>
      <c r="DL93" s="21">
        <f t="shared" si="304"/>
        <v>30450.785402294277</v>
      </c>
      <c r="DM93" s="21">
        <f t="shared" si="305"/>
        <v>14519.65202421309</v>
      </c>
      <c r="DN93" s="21">
        <f t="shared" si="306"/>
        <v>6923.3122272226437</v>
      </c>
      <c r="DO93" s="21">
        <f t="shared" si="307"/>
        <v>3301.1984113447629</v>
      </c>
      <c r="DP93" s="21">
        <f t="shared" si="308"/>
        <v>1574.0891921953862</v>
      </c>
      <c r="DQ93" s="21">
        <f t="shared" si="309"/>
        <v>1752.2568565311672</v>
      </c>
      <c r="DR93" s="21">
        <f t="shared" si="310"/>
        <v>0</v>
      </c>
      <c r="DS93" s="21">
        <f t="shared" si="311"/>
        <v>5259294.9238573406</v>
      </c>
      <c r="DT93" s="21">
        <f t="shared" si="312"/>
        <v>5380534.179648662</v>
      </c>
      <c r="DU93" s="21">
        <f t="shared" si="313"/>
        <v>4494545.6484573809</v>
      </c>
      <c r="DV93" s="13">
        <f t="shared" si="314"/>
        <v>0</v>
      </c>
      <c r="DW93" s="13">
        <f t="shared" si="315"/>
        <v>0</v>
      </c>
      <c r="DX93" s="13">
        <f t="shared" si="316"/>
        <v>0</v>
      </c>
      <c r="DY93" s="13">
        <f t="shared" si="317"/>
        <v>0</v>
      </c>
      <c r="DZ93" s="13">
        <f t="shared" si="318"/>
        <v>191553.75220346655</v>
      </c>
      <c r="EA93" s="13">
        <f t="shared" si="319"/>
        <v>308180.31661437108</v>
      </c>
      <c r="EB93" s="13">
        <f t="shared" si="320"/>
        <v>205324.99026257423</v>
      </c>
      <c r="EC93" s="13">
        <f t="shared" si="321"/>
        <v>132823.70561454137</v>
      </c>
      <c r="ED93" s="13">
        <f t="shared" si="322"/>
        <v>76862.731014906021</v>
      </c>
      <c r="EE93" s="13">
        <f t="shared" si="323"/>
        <v>43921.162350232931</v>
      </c>
      <c r="EF93" s="13">
        <f t="shared" si="324"/>
        <v>23907.174213476894</v>
      </c>
      <c r="EG93" s="13">
        <f t="shared" si="325"/>
        <v>29610.46436820415</v>
      </c>
      <c r="EH93" s="13">
        <f t="shared" si="326"/>
        <v>0</v>
      </c>
      <c r="EI93" s="13">
        <f t="shared" si="327"/>
        <v>52592.949238573405</v>
      </c>
      <c r="EJ93" s="13">
        <f t="shared" si="328"/>
        <v>107610.68359297325</v>
      </c>
      <c r="EK93" s="13">
        <f t="shared" si="329"/>
        <v>134836.36945372142</v>
      </c>
      <c r="EL93" s="21">
        <f t="shared" si="368"/>
        <v>1012184.2966417733</v>
      </c>
      <c r="EM93" s="21">
        <f t="shared" si="369"/>
        <v>295040.00228526804</v>
      </c>
      <c r="EN93" s="21">
        <f t="shared" si="330"/>
        <v>15182764449.6266</v>
      </c>
      <c r="EO93" s="21">
        <f t="shared" si="331"/>
        <v>6638400051.4185305</v>
      </c>
      <c r="EP93" s="21">
        <f t="shared" si="332"/>
        <v>12930228019.763342</v>
      </c>
      <c r="EQ93" s="21">
        <f t="shared" si="333"/>
        <v>4539324107.0017014</v>
      </c>
      <c r="ER93" s="21">
        <f t="shared" si="334"/>
        <v>143641858.31023464</v>
      </c>
      <c r="ES93" s="21">
        <f t="shared" si="335"/>
        <v>50427335.790641747</v>
      </c>
    </row>
    <row r="94" spans="1:149" x14ac:dyDescent="0.25">
      <c r="A94" s="50"/>
      <c r="B94" s="50"/>
      <c r="C94" s="50"/>
      <c r="D94" s="58"/>
      <c r="E94" s="58"/>
      <c r="F94" s="58"/>
      <c r="G94" s="58"/>
      <c r="H94" s="58"/>
      <c r="I94" s="58"/>
      <c r="J94" s="58"/>
      <c r="K94" s="58"/>
      <c r="L94" s="58"/>
      <c r="M94" s="58"/>
      <c r="O94" s="3">
        <v>92</v>
      </c>
      <c r="P94" s="21">
        <f t="shared" si="380"/>
        <v>450507.28597265156</v>
      </c>
      <c r="Q94" s="21">
        <f t="shared" si="381"/>
        <v>419815.18888336571</v>
      </c>
      <c r="R94" s="13">
        <f t="shared" si="393"/>
        <v>692036.07592648978</v>
      </c>
      <c r="S94" s="13">
        <f t="shared" si="336"/>
        <v>512672.93441542133</v>
      </c>
      <c r="T94" s="13">
        <f t="shared" si="337"/>
        <v>399270.08278224611</v>
      </c>
      <c r="U94" s="13">
        <f t="shared" si="338"/>
        <v>326894.69555781764</v>
      </c>
      <c r="V94" s="13">
        <f t="shared" si="339"/>
        <v>267638.74027125095</v>
      </c>
      <c r="W94" s="13">
        <f t="shared" si="340"/>
        <v>167223.91379563141</v>
      </c>
      <c r="X94" s="13">
        <f t="shared" si="341"/>
        <v>79736.302573549241</v>
      </c>
      <c r="Y94" s="13">
        <f t="shared" si="342"/>
        <v>38020.147978779802</v>
      </c>
      <c r="Z94" s="13">
        <f t="shared" si="343"/>
        <v>18128.902465661151</v>
      </c>
      <c r="AA94" s="13">
        <f t="shared" si="344"/>
        <v>8644.2878863304486</v>
      </c>
      <c r="AB94" s="13">
        <f t="shared" si="345"/>
        <v>4121.8001587960389</v>
      </c>
      <c r="AC94" s="13">
        <f t="shared" si="346"/>
        <v>4588.3375766198142</v>
      </c>
      <c r="AD94" s="13">
        <f t="shared" si="347"/>
        <v>47617256.786134057</v>
      </c>
      <c r="AE94" s="13">
        <f t="shared" si="348"/>
        <v>32978657.533346388</v>
      </c>
      <c r="AF94" s="13">
        <f t="shared" si="349"/>
        <v>18515688.396478809</v>
      </c>
      <c r="AG94" s="13">
        <f t="shared" si="350"/>
        <v>15466792.688606668</v>
      </c>
      <c r="AH94" s="21">
        <f t="shared" si="250"/>
        <v>0</v>
      </c>
      <c r="AI94" s="21">
        <f t="shared" si="251"/>
        <v>1538.018803246264</v>
      </c>
      <c r="AJ94" s="21">
        <f t="shared" si="252"/>
        <v>19753.361990279547</v>
      </c>
      <c r="AK94" s="21">
        <f t="shared" si="253"/>
        <v>89397.096743074741</v>
      </c>
      <c r="AL94" s="21">
        <f t="shared" si="254"/>
        <v>154751.53687473494</v>
      </c>
      <c r="AM94" s="21">
        <f t="shared" si="255"/>
        <v>135486.57520894471</v>
      </c>
      <c r="AN94" s="21">
        <f t="shared" si="256"/>
        <v>74691.93227389628</v>
      </c>
      <c r="AO94" s="21">
        <f t="shared" si="257"/>
        <v>37429.835154898748</v>
      </c>
      <c r="AP94" s="21">
        <f t="shared" si="258"/>
        <v>18030.624731242038</v>
      </c>
      <c r="AQ94" s="21">
        <f t="shared" si="259"/>
        <v>8618.3550226714578</v>
      </c>
      <c r="AR94" s="21">
        <f t="shared" si="260"/>
        <v>4121.8001587960389</v>
      </c>
      <c r="AS94" s="21">
        <f t="shared" si="261"/>
        <v>4588.3375766198142</v>
      </c>
      <c r="AT94" s="21">
        <f t="shared" si="262"/>
        <v>0</v>
      </c>
      <c r="AU94" s="21">
        <f t="shared" si="263"/>
        <v>16489328.766673194</v>
      </c>
      <c r="AV94" s="21">
        <f t="shared" si="264"/>
        <v>18515688.396478809</v>
      </c>
      <c r="AW94" s="21">
        <f t="shared" si="265"/>
        <v>15466792.688606668</v>
      </c>
      <c r="AX94" s="13">
        <f t="shared" si="351"/>
        <v>0.2</v>
      </c>
      <c r="AY94" s="13">
        <f t="shared" si="382"/>
        <v>0.6</v>
      </c>
      <c r="AZ94" s="13">
        <f t="shared" si="383"/>
        <v>1.2658</v>
      </c>
      <c r="BA94" s="13">
        <f t="shared" si="384"/>
        <v>2.1566490283456106</v>
      </c>
      <c r="BB94" s="13">
        <f t="shared" si="385"/>
        <v>3.3190880025392642</v>
      </c>
      <c r="BC94" s="13">
        <f t="shared" si="386"/>
        <v>4.8257420950729424</v>
      </c>
      <c r="BD94" s="13">
        <f t="shared" si="387"/>
        <v>6.742847107224514</v>
      </c>
      <c r="BE94" s="13">
        <f t="shared" si="388"/>
        <v>9.1478573586366725</v>
      </c>
      <c r="BF94" s="13">
        <f t="shared" si="389"/>
        <v>11.102017140391258</v>
      </c>
      <c r="BG94" s="13">
        <f t="shared" si="390"/>
        <v>13.304611500870523</v>
      </c>
      <c r="BH94" s="13">
        <f t="shared" si="391"/>
        <v>15.187941275509029</v>
      </c>
      <c r="BI94" s="13">
        <f t="shared" si="392"/>
        <v>16.898472537195406</v>
      </c>
      <c r="BJ94" s="13">
        <f t="shared" si="266"/>
        <v>4.0000000000000001E-3</v>
      </c>
      <c r="BK94" s="13">
        <f t="shared" si="267"/>
        <v>0.01</v>
      </c>
      <c r="BL94" s="13">
        <f t="shared" si="268"/>
        <v>0.02</v>
      </c>
      <c r="BM94" s="13">
        <f t="shared" si="269"/>
        <v>0.03</v>
      </c>
      <c r="BN94" s="30">
        <f t="shared" si="352"/>
        <v>4693566.6069654785</v>
      </c>
      <c r="BO94" s="30">
        <f t="shared" si="353"/>
        <v>1354573.1510657764</v>
      </c>
      <c r="BP94" s="30">
        <f t="shared" si="354"/>
        <v>2687198.8153184806</v>
      </c>
      <c r="BQ94" s="30">
        <f t="shared" si="355"/>
        <v>999210.83625450823</v>
      </c>
      <c r="BR94" s="36">
        <f t="shared" si="270"/>
        <v>0.3</v>
      </c>
      <c r="BS94" s="36">
        <f t="shared" si="271"/>
        <v>0.25</v>
      </c>
      <c r="BT94" s="36">
        <f t="shared" si="272"/>
        <v>0.2</v>
      </c>
      <c r="BU94" s="36">
        <f t="shared" si="273"/>
        <v>0.2</v>
      </c>
      <c r="BV94" s="36">
        <f t="shared" si="274"/>
        <v>0.2</v>
      </c>
      <c r="BW94" s="36">
        <f t="shared" si="275"/>
        <v>0.2</v>
      </c>
      <c r="BX94" s="36">
        <f t="shared" si="276"/>
        <v>0.2</v>
      </c>
      <c r="BY94" s="36">
        <f t="shared" si="277"/>
        <v>0.2</v>
      </c>
      <c r="BZ94" s="36">
        <f t="shared" si="278"/>
        <v>0.2</v>
      </c>
      <c r="CA94" s="36">
        <f t="shared" si="279"/>
        <v>0.2</v>
      </c>
      <c r="CB94" s="36">
        <f t="shared" si="280"/>
        <v>0.2</v>
      </c>
      <c r="CC94" s="36">
        <f t="shared" si="281"/>
        <v>0.2</v>
      </c>
      <c r="CD94" s="35">
        <f t="shared" si="282"/>
        <v>0.36733462223505559</v>
      </c>
      <c r="CE94" s="35">
        <f t="shared" si="283"/>
        <v>0.36733462223505559</v>
      </c>
      <c r="CF94" s="35">
        <f t="shared" si="284"/>
        <v>0.36733462223505559</v>
      </c>
      <c r="CG94" s="35">
        <f t="shared" si="285"/>
        <v>0.36733462223505559</v>
      </c>
      <c r="CH94" s="28">
        <f t="shared" si="286"/>
        <v>0</v>
      </c>
      <c r="CI94" s="28">
        <f t="shared" si="287"/>
        <v>0</v>
      </c>
      <c r="CJ94" s="28">
        <f t="shared" si="288"/>
        <v>15770.61405200115</v>
      </c>
      <c r="CK94" s="28">
        <f t="shared" si="289"/>
        <v>23888.724528299892</v>
      </c>
      <c r="CL94" s="28">
        <f t="shared" si="290"/>
        <v>32524.842135745188</v>
      </c>
      <c r="CM94" s="28">
        <f t="shared" si="291"/>
        <v>31774.25413464606</v>
      </c>
      <c r="CN94" s="28">
        <f t="shared" si="292"/>
        <v>22669.837945200023</v>
      </c>
      <c r="CO94" s="28">
        <f t="shared" si="293"/>
        <v>15649.069200287599</v>
      </c>
      <c r="CP94" s="28">
        <f t="shared" si="294"/>
        <v>9597.6668244745797</v>
      </c>
      <c r="CQ94" s="28">
        <f t="shared" si="295"/>
        <v>5787.4686637556424</v>
      </c>
      <c r="CR94" s="28">
        <f t="shared" si="296"/>
        <v>3303.6965684753723</v>
      </c>
      <c r="CS94" s="28">
        <f t="shared" si="297"/>
        <v>4270.9585677992782</v>
      </c>
      <c r="CT94" s="44">
        <f t="shared" si="356"/>
        <v>0</v>
      </c>
      <c r="CU94" s="44">
        <f t="shared" si="357"/>
        <v>0</v>
      </c>
      <c r="CV94" s="44">
        <f t="shared" si="358"/>
        <v>3.9498611922301544E-2</v>
      </c>
      <c r="CW94" s="44">
        <f t="shared" si="359"/>
        <v>7.3077736815324701E-2</v>
      </c>
      <c r="CX94" s="44">
        <f t="shared" si="360"/>
        <v>0.12152516523871459</v>
      </c>
      <c r="CY94" s="44">
        <f t="shared" si="361"/>
        <v>0.1900102288807699</v>
      </c>
      <c r="CZ94" s="44">
        <f t="shared" si="362"/>
        <v>0.28431012240991771</v>
      </c>
      <c r="DA94" s="44">
        <f t="shared" si="363"/>
        <v>0.41159937644171768</v>
      </c>
      <c r="DB94" s="44">
        <f t="shared" si="364"/>
        <v>0.5294124585122566</v>
      </c>
      <c r="DC94" s="44">
        <f t="shared" si="365"/>
        <v>0.66951364182439987</v>
      </c>
      <c r="DD94" s="44">
        <f t="shared" si="366"/>
        <v>0.8015178905326571</v>
      </c>
      <c r="DE94" s="44">
        <f t="shared" si="367"/>
        <v>0.93082919390287189</v>
      </c>
      <c r="DF94" s="21">
        <f t="shared" si="298"/>
        <v>0</v>
      </c>
      <c r="DG94" s="21">
        <f t="shared" si="299"/>
        <v>0</v>
      </c>
      <c r="DH94" s="21">
        <f t="shared" si="300"/>
        <v>0</v>
      </c>
      <c r="DI94" s="21">
        <f t="shared" si="301"/>
        <v>0</v>
      </c>
      <c r="DJ94" s="21">
        <f t="shared" si="302"/>
        <v>57712.76689768918</v>
      </c>
      <c r="DK94" s="21">
        <f t="shared" si="303"/>
        <v>63861.746140354073</v>
      </c>
      <c r="DL94" s="21">
        <f t="shared" si="304"/>
        <v>30450.785402293881</v>
      </c>
      <c r="DM94" s="21">
        <f t="shared" si="305"/>
        <v>14519.652024212832</v>
      </c>
      <c r="DN94" s="21">
        <f t="shared" si="306"/>
        <v>6923.3122272224718</v>
      </c>
      <c r="DO94" s="21">
        <f t="shared" si="307"/>
        <v>3301.1984113446497</v>
      </c>
      <c r="DP94" s="21">
        <f t="shared" si="308"/>
        <v>1574.0891921953109</v>
      </c>
      <c r="DQ94" s="21">
        <f t="shared" si="309"/>
        <v>1752.2568565309878</v>
      </c>
      <c r="DR94" s="21">
        <f t="shared" si="310"/>
        <v>0</v>
      </c>
      <c r="DS94" s="21">
        <f t="shared" si="311"/>
        <v>5259294.9238573723</v>
      </c>
      <c r="DT94" s="21">
        <f t="shared" si="312"/>
        <v>5380534.1796487225</v>
      </c>
      <c r="DU94" s="21">
        <f t="shared" si="313"/>
        <v>4494545.648457516</v>
      </c>
      <c r="DV94" s="13">
        <f t="shared" si="314"/>
        <v>0</v>
      </c>
      <c r="DW94" s="13">
        <f t="shared" si="315"/>
        <v>0</v>
      </c>
      <c r="DX94" s="13">
        <f t="shared" si="316"/>
        <v>0</v>
      </c>
      <c r="DY94" s="13">
        <f t="shared" si="317"/>
        <v>0</v>
      </c>
      <c r="DZ94" s="13">
        <f t="shared" si="318"/>
        <v>191553.75220346535</v>
      </c>
      <c r="EA94" s="13">
        <f t="shared" si="319"/>
        <v>308180.31661436864</v>
      </c>
      <c r="EB94" s="13">
        <f t="shared" si="320"/>
        <v>205324.99026257175</v>
      </c>
      <c r="EC94" s="13">
        <f t="shared" si="321"/>
        <v>132823.70561453921</v>
      </c>
      <c r="ED94" s="13">
        <f t="shared" si="322"/>
        <v>76862.731014904261</v>
      </c>
      <c r="EE94" s="13">
        <f t="shared" si="323"/>
        <v>43921.162350231527</v>
      </c>
      <c r="EF94" s="13">
        <f t="shared" si="324"/>
        <v>23907.174213475828</v>
      </c>
      <c r="EG94" s="13">
        <f t="shared" si="325"/>
        <v>29610.464368201247</v>
      </c>
      <c r="EH94" s="13">
        <f t="shared" si="326"/>
        <v>0</v>
      </c>
      <c r="EI94" s="13">
        <f t="shared" si="327"/>
        <v>52592.949238573725</v>
      </c>
      <c r="EJ94" s="13">
        <f t="shared" si="328"/>
        <v>107610.68359297446</v>
      </c>
      <c r="EK94" s="13">
        <f t="shared" si="329"/>
        <v>134836.36945372546</v>
      </c>
      <c r="EL94" s="21">
        <f t="shared" si="368"/>
        <v>1012184.2966417577</v>
      </c>
      <c r="EM94" s="21">
        <f t="shared" si="369"/>
        <v>295040.00228527363</v>
      </c>
      <c r="EN94" s="21">
        <f t="shared" si="330"/>
        <v>15182764449.626366</v>
      </c>
      <c r="EO94" s="21">
        <f t="shared" si="331"/>
        <v>6638400051.4186563</v>
      </c>
      <c r="EP94" s="21">
        <f t="shared" si="332"/>
        <v>12930228019.763107</v>
      </c>
      <c r="EQ94" s="21">
        <f t="shared" si="333"/>
        <v>4539324107.0018272</v>
      </c>
      <c r="ER94" s="21">
        <f t="shared" si="334"/>
        <v>136636362.21465513</v>
      </c>
      <c r="ES94" s="21">
        <f t="shared" si="335"/>
        <v>47967965.603237748</v>
      </c>
    </row>
    <row r="95" spans="1:149" x14ac:dyDescent="0.2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O95" s="3">
        <v>93</v>
      </c>
      <c r="P95" s="21">
        <f t="shared" si="380"/>
        <v>450507.28597265156</v>
      </c>
      <c r="Q95" s="21">
        <f t="shared" si="381"/>
        <v>419815.18888336571</v>
      </c>
      <c r="R95" s="13">
        <f t="shared" si="393"/>
        <v>692036.07592648885</v>
      </c>
      <c r="S95" s="13">
        <f t="shared" si="336"/>
        <v>512672.9344154204</v>
      </c>
      <c r="T95" s="13">
        <f t="shared" si="337"/>
        <v>399270.08278224512</v>
      </c>
      <c r="U95" s="13">
        <f t="shared" si="338"/>
        <v>326894.69555781648</v>
      </c>
      <c r="V95" s="13">
        <f t="shared" si="339"/>
        <v>267638.74027124961</v>
      </c>
      <c r="W95" s="13">
        <f t="shared" si="340"/>
        <v>167223.91379563027</v>
      </c>
      <c r="X95" s="13">
        <f t="shared" si="341"/>
        <v>79736.302573548543</v>
      </c>
      <c r="Y95" s="13">
        <f t="shared" si="342"/>
        <v>38020.1479787793</v>
      </c>
      <c r="Z95" s="13">
        <f t="shared" si="343"/>
        <v>18128.902465660827</v>
      </c>
      <c r="AA95" s="13">
        <f t="shared" si="344"/>
        <v>8644.2878863302321</v>
      </c>
      <c r="AB95" s="13">
        <f t="shared" si="345"/>
        <v>4121.800158795897</v>
      </c>
      <c r="AC95" s="13">
        <f t="shared" si="346"/>
        <v>4588.3375766194749</v>
      </c>
      <c r="AD95" s="13">
        <f t="shared" si="347"/>
        <v>47617256.786134101</v>
      </c>
      <c r="AE95" s="13">
        <f t="shared" si="348"/>
        <v>32978657.533346504</v>
      </c>
      <c r="AF95" s="13">
        <f t="shared" si="349"/>
        <v>18515688.396478944</v>
      </c>
      <c r="AG95" s="13">
        <f t="shared" si="350"/>
        <v>15466792.688606994</v>
      </c>
      <c r="AH95" s="21">
        <f t="shared" si="250"/>
        <v>0</v>
      </c>
      <c r="AI95" s="21">
        <f t="shared" si="251"/>
        <v>1538.0188032462613</v>
      </c>
      <c r="AJ95" s="21">
        <f t="shared" si="252"/>
        <v>19753.3619902795</v>
      </c>
      <c r="AK95" s="21">
        <f t="shared" si="253"/>
        <v>89397.09674307442</v>
      </c>
      <c r="AL95" s="21">
        <f t="shared" si="254"/>
        <v>154751.53687473416</v>
      </c>
      <c r="AM95" s="21">
        <f t="shared" si="255"/>
        <v>135486.5752089438</v>
      </c>
      <c r="AN95" s="21">
        <f t="shared" si="256"/>
        <v>74691.93227389564</v>
      </c>
      <c r="AO95" s="21">
        <f t="shared" si="257"/>
        <v>37429.835154898254</v>
      </c>
      <c r="AP95" s="21">
        <f t="shared" si="258"/>
        <v>18030.624731241718</v>
      </c>
      <c r="AQ95" s="21">
        <f t="shared" si="259"/>
        <v>8618.3550226712432</v>
      </c>
      <c r="AR95" s="21">
        <f t="shared" si="260"/>
        <v>4121.800158795897</v>
      </c>
      <c r="AS95" s="21">
        <f t="shared" si="261"/>
        <v>4588.3375766194749</v>
      </c>
      <c r="AT95" s="21">
        <f t="shared" si="262"/>
        <v>0</v>
      </c>
      <c r="AU95" s="21">
        <f t="shared" si="263"/>
        <v>16489328.766673252</v>
      </c>
      <c r="AV95" s="21">
        <f t="shared" si="264"/>
        <v>18515688.396478944</v>
      </c>
      <c r="AW95" s="21">
        <f t="shared" si="265"/>
        <v>15466792.688606994</v>
      </c>
      <c r="AX95" s="13">
        <f t="shared" si="351"/>
        <v>0.2</v>
      </c>
      <c r="AY95" s="13">
        <f t="shared" si="382"/>
        <v>0.6</v>
      </c>
      <c r="AZ95" s="13">
        <f t="shared" si="383"/>
        <v>1.2658</v>
      </c>
      <c r="BA95" s="13">
        <f t="shared" si="384"/>
        <v>2.156649028345611</v>
      </c>
      <c r="BB95" s="13">
        <f t="shared" si="385"/>
        <v>3.3190880025392651</v>
      </c>
      <c r="BC95" s="13">
        <f t="shared" si="386"/>
        <v>4.825742095072945</v>
      </c>
      <c r="BD95" s="13">
        <f t="shared" si="387"/>
        <v>6.7428471072245193</v>
      </c>
      <c r="BE95" s="13">
        <f t="shared" si="388"/>
        <v>9.1478573586366796</v>
      </c>
      <c r="BF95" s="13">
        <f t="shared" si="389"/>
        <v>11.102017140391274</v>
      </c>
      <c r="BG95" s="13">
        <f t="shared" si="390"/>
        <v>13.304611500870548</v>
      </c>
      <c r="BH95" s="13">
        <f t="shared" si="391"/>
        <v>15.187941275509063</v>
      </c>
      <c r="BI95" s="13">
        <f t="shared" si="392"/>
        <v>16.89847253719546</v>
      </c>
      <c r="BJ95" s="13">
        <f t="shared" si="266"/>
        <v>4.0000000000000001E-3</v>
      </c>
      <c r="BK95" s="13">
        <f t="shared" si="267"/>
        <v>0.01</v>
      </c>
      <c r="BL95" s="13">
        <f t="shared" si="268"/>
        <v>0.02</v>
      </c>
      <c r="BM95" s="13">
        <f t="shared" si="269"/>
        <v>0.03</v>
      </c>
      <c r="BN95" s="30">
        <f t="shared" si="352"/>
        <v>4693566.6069654422</v>
      </c>
      <c r="BO95" s="30">
        <f t="shared" si="353"/>
        <v>1354573.1510657901</v>
      </c>
      <c r="BP95" s="30">
        <f t="shared" si="354"/>
        <v>2687198.8153184513</v>
      </c>
      <c r="BQ95" s="30">
        <f t="shared" si="355"/>
        <v>999210.83625452127</v>
      </c>
      <c r="BR95" s="36">
        <f t="shared" si="270"/>
        <v>0.3</v>
      </c>
      <c r="BS95" s="36">
        <f t="shared" si="271"/>
        <v>0.25</v>
      </c>
      <c r="BT95" s="36">
        <f t="shared" si="272"/>
        <v>0.2</v>
      </c>
      <c r="BU95" s="36">
        <f t="shared" si="273"/>
        <v>0.2</v>
      </c>
      <c r="BV95" s="36">
        <f t="shared" si="274"/>
        <v>0.2</v>
      </c>
      <c r="BW95" s="36">
        <f t="shared" si="275"/>
        <v>0.2</v>
      </c>
      <c r="BX95" s="36">
        <f t="shared" si="276"/>
        <v>0.2</v>
      </c>
      <c r="BY95" s="36">
        <f t="shared" si="277"/>
        <v>0.2</v>
      </c>
      <c r="BZ95" s="36">
        <f t="shared" si="278"/>
        <v>0.2</v>
      </c>
      <c r="CA95" s="36">
        <f t="shared" si="279"/>
        <v>0.2</v>
      </c>
      <c r="CB95" s="36">
        <f t="shared" si="280"/>
        <v>0.2</v>
      </c>
      <c r="CC95" s="36">
        <f t="shared" si="281"/>
        <v>0.2</v>
      </c>
      <c r="CD95" s="35">
        <f t="shared" si="282"/>
        <v>0.36733462223505392</v>
      </c>
      <c r="CE95" s="35">
        <f t="shared" si="283"/>
        <v>0.36733462223505392</v>
      </c>
      <c r="CF95" s="35">
        <f t="shared" si="284"/>
        <v>0.36733462223505392</v>
      </c>
      <c r="CG95" s="35">
        <f t="shared" si="285"/>
        <v>0.36733462223505392</v>
      </c>
      <c r="CH95" s="28">
        <f t="shared" si="286"/>
        <v>0</v>
      </c>
      <c r="CI95" s="28">
        <f t="shared" si="287"/>
        <v>0</v>
      </c>
      <c r="CJ95" s="28">
        <f t="shared" si="288"/>
        <v>15770.614052001281</v>
      </c>
      <c r="CK95" s="28">
        <f t="shared" si="289"/>
        <v>23888.724528300059</v>
      </c>
      <c r="CL95" s="28">
        <f t="shared" si="290"/>
        <v>32524.842135745363</v>
      </c>
      <c r="CM95" s="28">
        <f t="shared" si="291"/>
        <v>31774.254134646191</v>
      </c>
      <c r="CN95" s="28">
        <f t="shared" si="292"/>
        <v>22669.837945200063</v>
      </c>
      <c r="CO95" s="28">
        <f t="shared" si="293"/>
        <v>15649.069200287558</v>
      </c>
      <c r="CP95" s="28">
        <f t="shared" si="294"/>
        <v>9597.6668244745088</v>
      </c>
      <c r="CQ95" s="28">
        <f t="shared" si="295"/>
        <v>5787.4686637555587</v>
      </c>
      <c r="CR95" s="28">
        <f t="shared" si="296"/>
        <v>3303.696568475294</v>
      </c>
      <c r="CS95" s="28">
        <f t="shared" si="297"/>
        <v>4270.9585677990071</v>
      </c>
      <c r="CT95" s="44">
        <f t="shared" si="356"/>
        <v>0</v>
      </c>
      <c r="CU95" s="44">
        <f t="shared" si="357"/>
        <v>0</v>
      </c>
      <c r="CV95" s="44">
        <f t="shared" si="358"/>
        <v>3.9498611922301967E-2</v>
      </c>
      <c r="CW95" s="44">
        <f t="shared" si="359"/>
        <v>7.3077736815325478E-2</v>
      </c>
      <c r="CX95" s="44">
        <f t="shared" si="360"/>
        <v>0.12152516523871584</v>
      </c>
      <c r="CY95" s="44">
        <f t="shared" si="361"/>
        <v>0.19001022888077199</v>
      </c>
      <c r="CZ95" s="44">
        <f t="shared" si="362"/>
        <v>0.28431012240992071</v>
      </c>
      <c r="DA95" s="44">
        <f t="shared" si="363"/>
        <v>0.41159937644172206</v>
      </c>
      <c r="DB95" s="44">
        <f t="shared" si="364"/>
        <v>0.52941245851226215</v>
      </c>
      <c r="DC95" s="44">
        <f t="shared" si="365"/>
        <v>0.66951364182440698</v>
      </c>
      <c r="DD95" s="44">
        <f t="shared" si="366"/>
        <v>0.80151789053266576</v>
      </c>
      <c r="DE95" s="44">
        <f t="shared" si="367"/>
        <v>0.93082919390288166</v>
      </c>
      <c r="DF95" s="21">
        <f t="shared" si="298"/>
        <v>0</v>
      </c>
      <c r="DG95" s="21">
        <f t="shared" si="299"/>
        <v>0</v>
      </c>
      <c r="DH95" s="21">
        <f t="shared" si="300"/>
        <v>0</v>
      </c>
      <c r="DI95" s="21">
        <f t="shared" si="301"/>
        <v>0</v>
      </c>
      <c r="DJ95" s="21">
        <f t="shared" si="302"/>
        <v>57712.766897688896</v>
      </c>
      <c r="DK95" s="21">
        <f t="shared" si="303"/>
        <v>63861.746140353644</v>
      </c>
      <c r="DL95" s="21">
        <f t="shared" si="304"/>
        <v>30450.785402293612</v>
      </c>
      <c r="DM95" s="21">
        <f t="shared" si="305"/>
        <v>14519.652024212639</v>
      </c>
      <c r="DN95" s="21">
        <f t="shared" si="306"/>
        <v>6923.3122272223472</v>
      </c>
      <c r="DO95" s="21">
        <f t="shared" si="307"/>
        <v>3301.1984113445669</v>
      </c>
      <c r="DP95" s="21">
        <f t="shared" si="308"/>
        <v>1574.0891921952566</v>
      </c>
      <c r="DQ95" s="21">
        <f t="shared" si="309"/>
        <v>1752.2568565308584</v>
      </c>
      <c r="DR95" s="21">
        <f t="shared" si="310"/>
        <v>0</v>
      </c>
      <c r="DS95" s="21">
        <f t="shared" si="311"/>
        <v>5259294.9238573955</v>
      </c>
      <c r="DT95" s="21">
        <f t="shared" si="312"/>
        <v>5380534.1796487663</v>
      </c>
      <c r="DU95" s="21">
        <f t="shared" si="313"/>
        <v>4494545.6484576138</v>
      </c>
      <c r="DV95" s="13">
        <f t="shared" si="314"/>
        <v>0</v>
      </c>
      <c r="DW95" s="13">
        <f t="shared" si="315"/>
        <v>0</v>
      </c>
      <c r="DX95" s="13">
        <f t="shared" si="316"/>
        <v>0</v>
      </c>
      <c r="DY95" s="13">
        <f t="shared" si="317"/>
        <v>0</v>
      </c>
      <c r="DZ95" s="13">
        <f t="shared" si="318"/>
        <v>191553.75220346445</v>
      </c>
      <c r="EA95" s="13">
        <f t="shared" si="319"/>
        <v>308180.31661436678</v>
      </c>
      <c r="EB95" s="13">
        <f t="shared" si="320"/>
        <v>205324.99026257009</v>
      </c>
      <c r="EC95" s="13">
        <f t="shared" si="321"/>
        <v>132823.70561453755</v>
      </c>
      <c r="ED95" s="13">
        <f t="shared" si="322"/>
        <v>76862.73101490298</v>
      </c>
      <c r="EE95" s="13">
        <f t="shared" si="323"/>
        <v>43921.162350230508</v>
      </c>
      <c r="EF95" s="13">
        <f t="shared" si="324"/>
        <v>23907.174213475057</v>
      </c>
      <c r="EG95" s="13">
        <f t="shared" si="325"/>
        <v>29610.464368199155</v>
      </c>
      <c r="EH95" s="13">
        <f t="shared" si="326"/>
        <v>0</v>
      </c>
      <c r="EI95" s="13">
        <f t="shared" si="327"/>
        <v>52592.949238573958</v>
      </c>
      <c r="EJ95" s="13">
        <f t="shared" si="328"/>
        <v>107610.68359297533</v>
      </c>
      <c r="EK95" s="13">
        <f t="shared" si="329"/>
        <v>134836.3694537284</v>
      </c>
      <c r="EL95" s="21">
        <f t="shared" si="368"/>
        <v>1012184.2966417465</v>
      </c>
      <c r="EM95" s="21">
        <f t="shared" si="369"/>
        <v>295040.0022852777</v>
      </c>
      <c r="EN95" s="21">
        <f t="shared" si="330"/>
        <v>15182764449.626198</v>
      </c>
      <c r="EO95" s="21">
        <f t="shared" si="331"/>
        <v>6638400051.4187479</v>
      </c>
      <c r="EP95" s="21">
        <f t="shared" si="332"/>
        <v>12930228019.762939</v>
      </c>
      <c r="EQ95" s="21">
        <f t="shared" si="333"/>
        <v>4539324107.0019188</v>
      </c>
      <c r="ER95" s="21">
        <f t="shared" si="334"/>
        <v>129972528.19531573</v>
      </c>
      <c r="ES95" s="21">
        <f t="shared" si="335"/>
        <v>45628540.315238774</v>
      </c>
    </row>
    <row r="96" spans="1:149" x14ac:dyDescent="0.2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O96" s="3">
        <v>94</v>
      </c>
      <c r="P96" s="21">
        <f t="shared" si="380"/>
        <v>450507.28597265156</v>
      </c>
      <c r="Q96" s="21">
        <f t="shared" si="381"/>
        <v>419815.18888336571</v>
      </c>
      <c r="R96" s="13">
        <f t="shared" si="393"/>
        <v>692036.07592648827</v>
      </c>
      <c r="S96" s="13">
        <f t="shared" si="336"/>
        <v>512672.9344154197</v>
      </c>
      <c r="T96" s="13">
        <f t="shared" si="337"/>
        <v>399270.08278224443</v>
      </c>
      <c r="U96" s="13">
        <f t="shared" si="338"/>
        <v>326894.69555781572</v>
      </c>
      <c r="V96" s="13">
        <f t="shared" si="339"/>
        <v>267638.74027124868</v>
      </c>
      <c r="W96" s="13">
        <f t="shared" si="340"/>
        <v>167223.91379562943</v>
      </c>
      <c r="X96" s="13">
        <f t="shared" si="341"/>
        <v>79736.30257354799</v>
      </c>
      <c r="Y96" s="13">
        <f t="shared" si="342"/>
        <v>38020.147978778965</v>
      </c>
      <c r="Z96" s="13">
        <f t="shared" si="343"/>
        <v>18128.902465660591</v>
      </c>
      <c r="AA96" s="13">
        <f t="shared" si="344"/>
        <v>8644.2878863300775</v>
      </c>
      <c r="AB96" s="13">
        <f t="shared" si="345"/>
        <v>4121.8001587957942</v>
      </c>
      <c r="AC96" s="13">
        <f t="shared" si="346"/>
        <v>4588.3375766192312</v>
      </c>
      <c r="AD96" s="13">
        <f t="shared" si="347"/>
        <v>47617256.786134124</v>
      </c>
      <c r="AE96" s="13">
        <f t="shared" si="348"/>
        <v>32978657.53334659</v>
      </c>
      <c r="AF96" s="13">
        <f t="shared" si="349"/>
        <v>18515688.396479037</v>
      </c>
      <c r="AG96" s="13">
        <f t="shared" si="350"/>
        <v>15466792.688607227</v>
      </c>
      <c r="AH96" s="21">
        <f t="shared" si="250"/>
        <v>0</v>
      </c>
      <c r="AI96" s="21">
        <f t="shared" si="251"/>
        <v>1538.018803246259</v>
      </c>
      <c r="AJ96" s="21">
        <f t="shared" si="252"/>
        <v>19753.361990279463</v>
      </c>
      <c r="AK96" s="21">
        <f t="shared" si="253"/>
        <v>89397.096743074217</v>
      </c>
      <c r="AL96" s="21">
        <f t="shared" si="254"/>
        <v>154751.5368747336</v>
      </c>
      <c r="AM96" s="21">
        <f t="shared" si="255"/>
        <v>135486.5752089431</v>
      </c>
      <c r="AN96" s="21">
        <f t="shared" si="256"/>
        <v>74691.932273895116</v>
      </c>
      <c r="AO96" s="21">
        <f t="shared" si="257"/>
        <v>37429.835154897919</v>
      </c>
      <c r="AP96" s="21">
        <f t="shared" si="258"/>
        <v>18030.624731241482</v>
      </c>
      <c r="AQ96" s="21">
        <f t="shared" si="259"/>
        <v>8618.3550226710886</v>
      </c>
      <c r="AR96" s="21">
        <f t="shared" si="260"/>
        <v>4121.8001587957942</v>
      </c>
      <c r="AS96" s="21">
        <f t="shared" si="261"/>
        <v>4588.3375766192312</v>
      </c>
      <c r="AT96" s="21">
        <f t="shared" si="262"/>
        <v>0</v>
      </c>
      <c r="AU96" s="21">
        <f t="shared" si="263"/>
        <v>16489328.766673295</v>
      </c>
      <c r="AV96" s="21">
        <f t="shared" si="264"/>
        <v>18515688.396479037</v>
      </c>
      <c r="AW96" s="21">
        <f t="shared" si="265"/>
        <v>15466792.688607227</v>
      </c>
      <c r="AX96" s="13">
        <f t="shared" si="351"/>
        <v>0.2</v>
      </c>
      <c r="AY96" s="13">
        <f t="shared" si="382"/>
        <v>0.6</v>
      </c>
      <c r="AZ96" s="13">
        <f t="shared" si="383"/>
        <v>1.2658</v>
      </c>
      <c r="BA96" s="13">
        <f t="shared" si="384"/>
        <v>2.1566490283456115</v>
      </c>
      <c r="BB96" s="13">
        <f t="shared" si="385"/>
        <v>3.3190880025392659</v>
      </c>
      <c r="BC96" s="13">
        <f t="shared" si="386"/>
        <v>4.8257420950729459</v>
      </c>
      <c r="BD96" s="13">
        <f t="shared" si="387"/>
        <v>6.7428471072245229</v>
      </c>
      <c r="BE96" s="13">
        <f t="shared" si="388"/>
        <v>9.1478573586366849</v>
      </c>
      <c r="BF96" s="13">
        <f t="shared" si="389"/>
        <v>11.102017140391283</v>
      </c>
      <c r="BG96" s="13">
        <f t="shared" si="390"/>
        <v>13.304611500870566</v>
      </c>
      <c r="BH96" s="13">
        <f t="shared" si="391"/>
        <v>15.18794127550909</v>
      </c>
      <c r="BI96" s="13">
        <f t="shared" si="392"/>
        <v>16.898472537195495</v>
      </c>
      <c r="BJ96" s="13">
        <f t="shared" si="266"/>
        <v>4.0000000000000001E-3</v>
      </c>
      <c r="BK96" s="13">
        <f t="shared" si="267"/>
        <v>0.01</v>
      </c>
      <c r="BL96" s="13">
        <f t="shared" si="268"/>
        <v>0.02</v>
      </c>
      <c r="BM96" s="13">
        <f t="shared" si="269"/>
        <v>0.03</v>
      </c>
      <c r="BN96" s="30">
        <f t="shared" si="352"/>
        <v>4693566.6069654161</v>
      </c>
      <c r="BO96" s="30">
        <f t="shared" si="353"/>
        <v>1354573.1510657999</v>
      </c>
      <c r="BP96" s="30">
        <f t="shared" si="354"/>
        <v>2687198.8153184303</v>
      </c>
      <c r="BQ96" s="30">
        <f t="shared" si="355"/>
        <v>999210.83625453047</v>
      </c>
      <c r="BR96" s="36">
        <f t="shared" si="270"/>
        <v>0.3</v>
      </c>
      <c r="BS96" s="36">
        <f t="shared" si="271"/>
        <v>0.25</v>
      </c>
      <c r="BT96" s="36">
        <f t="shared" si="272"/>
        <v>0.2</v>
      </c>
      <c r="BU96" s="36">
        <f t="shared" si="273"/>
        <v>0.2</v>
      </c>
      <c r="BV96" s="36">
        <f t="shared" si="274"/>
        <v>0.2</v>
      </c>
      <c r="BW96" s="36">
        <f t="shared" si="275"/>
        <v>0.2</v>
      </c>
      <c r="BX96" s="36">
        <f t="shared" si="276"/>
        <v>0.2</v>
      </c>
      <c r="BY96" s="36">
        <f t="shared" si="277"/>
        <v>0.2</v>
      </c>
      <c r="BZ96" s="36">
        <f t="shared" si="278"/>
        <v>0.2</v>
      </c>
      <c r="CA96" s="36">
        <f t="shared" si="279"/>
        <v>0.2</v>
      </c>
      <c r="CB96" s="36">
        <f t="shared" si="280"/>
        <v>0.2</v>
      </c>
      <c r="CC96" s="36">
        <f t="shared" si="281"/>
        <v>0.2</v>
      </c>
      <c r="CD96" s="35">
        <f t="shared" si="282"/>
        <v>0.3673346222350527</v>
      </c>
      <c r="CE96" s="35">
        <f t="shared" si="283"/>
        <v>0.3673346222350527</v>
      </c>
      <c r="CF96" s="35">
        <f t="shared" si="284"/>
        <v>0.3673346222350527</v>
      </c>
      <c r="CG96" s="35">
        <f t="shared" si="285"/>
        <v>0.3673346222350527</v>
      </c>
      <c r="CH96" s="28">
        <f t="shared" si="286"/>
        <v>0</v>
      </c>
      <c r="CI96" s="28">
        <f t="shared" si="287"/>
        <v>0</v>
      </c>
      <c r="CJ96" s="28">
        <f t="shared" si="288"/>
        <v>15770.614052001369</v>
      </c>
      <c r="CK96" s="28">
        <f t="shared" si="289"/>
        <v>23888.724528300183</v>
      </c>
      <c r="CL96" s="28">
        <f t="shared" si="290"/>
        <v>32524.842135745497</v>
      </c>
      <c r="CM96" s="28">
        <f t="shared" si="291"/>
        <v>31774.25413464626</v>
      </c>
      <c r="CN96" s="28">
        <f t="shared" si="292"/>
        <v>22669.837945200074</v>
      </c>
      <c r="CO96" s="28">
        <f t="shared" si="293"/>
        <v>15649.069200287537</v>
      </c>
      <c r="CP96" s="28">
        <f t="shared" si="294"/>
        <v>9597.666824474456</v>
      </c>
      <c r="CQ96" s="28">
        <f t="shared" si="295"/>
        <v>5787.4686637554987</v>
      </c>
      <c r="CR96" s="28">
        <f t="shared" si="296"/>
        <v>3303.6965684752358</v>
      </c>
      <c r="CS96" s="28">
        <f t="shared" si="297"/>
        <v>4270.9585677988116</v>
      </c>
      <c r="CT96" s="44">
        <f t="shared" si="356"/>
        <v>0</v>
      </c>
      <c r="CU96" s="44">
        <f t="shared" si="357"/>
        <v>0</v>
      </c>
      <c r="CV96" s="44">
        <f t="shared" si="358"/>
        <v>3.9498611922302258E-2</v>
      </c>
      <c r="CW96" s="44">
        <f t="shared" si="359"/>
        <v>7.3077736815326019E-2</v>
      </c>
      <c r="CX96" s="44">
        <f t="shared" si="360"/>
        <v>0.12152516523871677</v>
      </c>
      <c r="CY96" s="44">
        <f t="shared" si="361"/>
        <v>0.19001022888077335</v>
      </c>
      <c r="CZ96" s="44">
        <f t="shared" si="362"/>
        <v>0.28431012240992282</v>
      </c>
      <c r="DA96" s="44">
        <f t="shared" si="363"/>
        <v>0.41159937644172512</v>
      </c>
      <c r="DB96" s="44">
        <f t="shared" si="364"/>
        <v>0.52941245851226615</v>
      </c>
      <c r="DC96" s="44">
        <f t="shared" si="365"/>
        <v>0.66951364182441198</v>
      </c>
      <c r="DD96" s="44">
        <f t="shared" si="366"/>
        <v>0.80151789053267164</v>
      </c>
      <c r="DE96" s="44">
        <f t="shared" si="367"/>
        <v>0.93082919390288843</v>
      </c>
      <c r="DF96" s="21">
        <f t="shared" si="298"/>
        <v>0</v>
      </c>
      <c r="DG96" s="21">
        <f t="shared" si="299"/>
        <v>0</v>
      </c>
      <c r="DH96" s="21">
        <f t="shared" si="300"/>
        <v>0</v>
      </c>
      <c r="DI96" s="21">
        <f t="shared" si="301"/>
        <v>0</v>
      </c>
      <c r="DJ96" s="21">
        <f t="shared" si="302"/>
        <v>57712.766897688685</v>
      </c>
      <c r="DK96" s="21">
        <f t="shared" si="303"/>
        <v>63861.746140353316</v>
      </c>
      <c r="DL96" s="21">
        <f t="shared" si="304"/>
        <v>30450.785402293401</v>
      </c>
      <c r="DM96" s="21">
        <f t="shared" si="305"/>
        <v>14519.652024212512</v>
      </c>
      <c r="DN96" s="21">
        <f t="shared" si="306"/>
        <v>6923.3122272222572</v>
      </c>
      <c r="DO96" s="21">
        <f t="shared" si="307"/>
        <v>3301.1984113445078</v>
      </c>
      <c r="DP96" s="21">
        <f t="shared" si="308"/>
        <v>1574.0891921952173</v>
      </c>
      <c r="DQ96" s="21">
        <f t="shared" si="309"/>
        <v>1752.2568565307652</v>
      </c>
      <c r="DR96" s="21">
        <f t="shared" si="310"/>
        <v>0</v>
      </c>
      <c r="DS96" s="21">
        <f t="shared" si="311"/>
        <v>5259294.9238574114</v>
      </c>
      <c r="DT96" s="21">
        <f t="shared" si="312"/>
        <v>5380534.1796487952</v>
      </c>
      <c r="DU96" s="21">
        <f t="shared" si="313"/>
        <v>4494545.6484576827</v>
      </c>
      <c r="DV96" s="13">
        <f t="shared" si="314"/>
        <v>0</v>
      </c>
      <c r="DW96" s="13">
        <f t="shared" si="315"/>
        <v>0</v>
      </c>
      <c r="DX96" s="13">
        <f t="shared" si="316"/>
        <v>0</v>
      </c>
      <c r="DY96" s="13">
        <f t="shared" si="317"/>
        <v>0</v>
      </c>
      <c r="DZ96" s="13">
        <f t="shared" si="318"/>
        <v>191553.75220346381</v>
      </c>
      <c r="EA96" s="13">
        <f t="shared" si="319"/>
        <v>308180.31661436521</v>
      </c>
      <c r="EB96" s="13">
        <f t="shared" si="320"/>
        <v>205324.99026256878</v>
      </c>
      <c r="EC96" s="13">
        <f t="shared" si="321"/>
        <v>132823.70561453645</v>
      </c>
      <c r="ED96" s="13">
        <f t="shared" si="322"/>
        <v>76862.731014902049</v>
      </c>
      <c r="EE96" s="13">
        <f t="shared" si="323"/>
        <v>43921.162350229781</v>
      </c>
      <c r="EF96" s="13">
        <f t="shared" si="324"/>
        <v>23907.1742134745</v>
      </c>
      <c r="EG96" s="13">
        <f t="shared" si="325"/>
        <v>29610.464368197641</v>
      </c>
      <c r="EH96" s="13">
        <f t="shared" si="326"/>
        <v>0</v>
      </c>
      <c r="EI96" s="13">
        <f t="shared" si="327"/>
        <v>52592.949238574118</v>
      </c>
      <c r="EJ96" s="13">
        <f t="shared" si="328"/>
        <v>107610.68359297591</v>
      </c>
      <c r="EK96" s="13">
        <f t="shared" si="329"/>
        <v>134836.36945373047</v>
      </c>
      <c r="EL96" s="21">
        <f t="shared" si="368"/>
        <v>1012184.2966417382</v>
      </c>
      <c r="EM96" s="21">
        <f t="shared" si="369"/>
        <v>295040.0022852805</v>
      </c>
      <c r="EN96" s="21">
        <f t="shared" si="330"/>
        <v>15182764449.626072</v>
      </c>
      <c r="EO96" s="21">
        <f t="shared" si="331"/>
        <v>6638400051.4188108</v>
      </c>
      <c r="EP96" s="21">
        <f t="shared" si="332"/>
        <v>12930228019.762814</v>
      </c>
      <c r="EQ96" s="21">
        <f t="shared" si="333"/>
        <v>4539324107.0019817</v>
      </c>
      <c r="ER96" s="21">
        <f t="shared" si="334"/>
        <v>123633693.19613184</v>
      </c>
      <c r="ES96" s="21">
        <f t="shared" si="335"/>
        <v>43403210.144872822</v>
      </c>
    </row>
    <row r="97" spans="1:149" x14ac:dyDescent="0.2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O97" s="3">
        <v>95</v>
      </c>
      <c r="P97" s="21">
        <f t="shared" si="380"/>
        <v>450507.28597265156</v>
      </c>
      <c r="Q97" s="21">
        <f t="shared" si="381"/>
        <v>419815.18888336571</v>
      </c>
      <c r="R97" s="13">
        <f t="shared" si="393"/>
        <v>692036.0759264878</v>
      </c>
      <c r="S97" s="13">
        <f t="shared" si="336"/>
        <v>512672.93441541924</v>
      </c>
      <c r="T97" s="13">
        <f t="shared" si="337"/>
        <v>399270.08278224384</v>
      </c>
      <c r="U97" s="13">
        <f t="shared" si="338"/>
        <v>326894.69555781514</v>
      </c>
      <c r="V97" s="13">
        <f t="shared" si="339"/>
        <v>267638.74027124804</v>
      </c>
      <c r="W97" s="13">
        <f t="shared" si="340"/>
        <v>167223.91379562885</v>
      </c>
      <c r="X97" s="13">
        <f t="shared" si="341"/>
        <v>79736.302573547597</v>
      </c>
      <c r="Y97" s="13">
        <f t="shared" si="342"/>
        <v>38020.147978778703</v>
      </c>
      <c r="Z97" s="13">
        <f t="shared" si="343"/>
        <v>18128.902465660431</v>
      </c>
      <c r="AA97" s="13">
        <f t="shared" si="344"/>
        <v>8644.2878863299647</v>
      </c>
      <c r="AB97" s="13">
        <f t="shared" si="345"/>
        <v>4121.8001587957206</v>
      </c>
      <c r="AC97" s="13">
        <f t="shared" si="346"/>
        <v>4588.3375766190547</v>
      </c>
      <c r="AD97" s="13">
        <f t="shared" si="347"/>
        <v>47617256.786134139</v>
      </c>
      <c r="AE97" s="13">
        <f t="shared" si="348"/>
        <v>32978657.533346646</v>
      </c>
      <c r="AF97" s="13">
        <f t="shared" si="349"/>
        <v>18515688.396479107</v>
      </c>
      <c r="AG97" s="13">
        <f t="shared" si="350"/>
        <v>15466792.688607397</v>
      </c>
      <c r="AH97" s="21">
        <f t="shared" si="250"/>
        <v>0</v>
      </c>
      <c r="AI97" s="21">
        <f t="shared" si="251"/>
        <v>1538.0188032462577</v>
      </c>
      <c r="AJ97" s="21">
        <f t="shared" si="252"/>
        <v>19753.361990279434</v>
      </c>
      <c r="AK97" s="21">
        <f t="shared" si="253"/>
        <v>89397.096743074057</v>
      </c>
      <c r="AL97" s="21">
        <f t="shared" si="254"/>
        <v>154751.53687473325</v>
      </c>
      <c r="AM97" s="21">
        <f t="shared" si="255"/>
        <v>135486.57520894264</v>
      </c>
      <c r="AN97" s="21">
        <f t="shared" si="256"/>
        <v>74691.932273894752</v>
      </c>
      <c r="AO97" s="21">
        <f t="shared" si="257"/>
        <v>37429.835154897664</v>
      </c>
      <c r="AP97" s="21">
        <f t="shared" si="258"/>
        <v>18030.624731241322</v>
      </c>
      <c r="AQ97" s="21">
        <f t="shared" si="259"/>
        <v>8618.3550226709758</v>
      </c>
      <c r="AR97" s="21">
        <f t="shared" si="260"/>
        <v>4121.8001587957206</v>
      </c>
      <c r="AS97" s="21">
        <f t="shared" si="261"/>
        <v>4588.3375766190547</v>
      </c>
      <c r="AT97" s="21">
        <f t="shared" si="262"/>
        <v>0</v>
      </c>
      <c r="AU97" s="21">
        <f t="shared" si="263"/>
        <v>16489328.766673323</v>
      </c>
      <c r="AV97" s="21">
        <f t="shared" si="264"/>
        <v>18515688.396479107</v>
      </c>
      <c r="AW97" s="21">
        <f t="shared" si="265"/>
        <v>15466792.688607397</v>
      </c>
      <c r="AX97" s="13">
        <f t="shared" si="351"/>
        <v>0.2</v>
      </c>
      <c r="AY97" s="13">
        <f t="shared" si="382"/>
        <v>0.6</v>
      </c>
      <c r="AZ97" s="13">
        <f t="shared" si="383"/>
        <v>1.2658</v>
      </c>
      <c r="BA97" s="13">
        <f t="shared" si="384"/>
        <v>2.1566490283456115</v>
      </c>
      <c r="BB97" s="13">
        <f t="shared" si="385"/>
        <v>3.3190880025392668</v>
      </c>
      <c r="BC97" s="13">
        <f t="shared" si="386"/>
        <v>4.8257420950729477</v>
      </c>
      <c r="BD97" s="13">
        <f t="shared" si="387"/>
        <v>6.7428471072245246</v>
      </c>
      <c r="BE97" s="13">
        <f t="shared" si="388"/>
        <v>9.1478573586366903</v>
      </c>
      <c r="BF97" s="13">
        <f t="shared" si="389"/>
        <v>11.10201714039129</v>
      </c>
      <c r="BG97" s="13">
        <f t="shared" si="390"/>
        <v>13.304611500870577</v>
      </c>
      <c r="BH97" s="13">
        <f t="shared" si="391"/>
        <v>15.187941275509109</v>
      </c>
      <c r="BI97" s="13">
        <f t="shared" si="392"/>
        <v>16.898472537195524</v>
      </c>
      <c r="BJ97" s="13">
        <f t="shared" si="266"/>
        <v>4.0000000000000001E-3</v>
      </c>
      <c r="BK97" s="13">
        <f t="shared" si="267"/>
        <v>0.01</v>
      </c>
      <c r="BL97" s="13">
        <f t="shared" si="268"/>
        <v>0.02</v>
      </c>
      <c r="BM97" s="13">
        <f t="shared" si="269"/>
        <v>0.03</v>
      </c>
      <c r="BN97" s="30">
        <f t="shared" si="352"/>
        <v>4693566.6069653993</v>
      </c>
      <c r="BO97" s="30">
        <f t="shared" si="353"/>
        <v>1354573.1510658071</v>
      </c>
      <c r="BP97" s="30">
        <f t="shared" si="354"/>
        <v>2687198.8153184154</v>
      </c>
      <c r="BQ97" s="30">
        <f t="shared" si="355"/>
        <v>999210.83625453734</v>
      </c>
      <c r="BR97" s="36">
        <f t="shared" si="270"/>
        <v>0.3</v>
      </c>
      <c r="BS97" s="36">
        <f t="shared" si="271"/>
        <v>0.25</v>
      </c>
      <c r="BT97" s="36">
        <f t="shared" si="272"/>
        <v>0.2</v>
      </c>
      <c r="BU97" s="36">
        <f t="shared" si="273"/>
        <v>0.2</v>
      </c>
      <c r="BV97" s="36">
        <f t="shared" si="274"/>
        <v>0.2</v>
      </c>
      <c r="BW97" s="36">
        <f t="shared" si="275"/>
        <v>0.2</v>
      </c>
      <c r="BX97" s="36">
        <f t="shared" si="276"/>
        <v>0.2</v>
      </c>
      <c r="BY97" s="36">
        <f t="shared" si="277"/>
        <v>0.2</v>
      </c>
      <c r="BZ97" s="36">
        <f t="shared" si="278"/>
        <v>0.2</v>
      </c>
      <c r="CA97" s="36">
        <f t="shared" si="279"/>
        <v>0.2</v>
      </c>
      <c r="CB97" s="36">
        <f t="shared" si="280"/>
        <v>0.2</v>
      </c>
      <c r="CC97" s="36">
        <f t="shared" si="281"/>
        <v>0.2</v>
      </c>
      <c r="CD97" s="35">
        <f t="shared" si="282"/>
        <v>0.36733462223505181</v>
      </c>
      <c r="CE97" s="35">
        <f t="shared" si="283"/>
        <v>0.36733462223505181</v>
      </c>
      <c r="CF97" s="35">
        <f t="shared" si="284"/>
        <v>0.36733462223505181</v>
      </c>
      <c r="CG97" s="35">
        <f t="shared" si="285"/>
        <v>0.36733462223505181</v>
      </c>
      <c r="CH97" s="28">
        <f t="shared" si="286"/>
        <v>0</v>
      </c>
      <c r="CI97" s="28">
        <f t="shared" si="287"/>
        <v>0</v>
      </c>
      <c r="CJ97" s="28">
        <f t="shared" si="288"/>
        <v>15770.614052001431</v>
      </c>
      <c r="CK97" s="28">
        <f t="shared" si="289"/>
        <v>23888.724528300263</v>
      </c>
      <c r="CL97" s="28">
        <f t="shared" si="290"/>
        <v>32524.842135745588</v>
      </c>
      <c r="CM97" s="28">
        <f t="shared" si="291"/>
        <v>31774.254134646319</v>
      </c>
      <c r="CN97" s="28">
        <f t="shared" si="292"/>
        <v>22669.837945200081</v>
      </c>
      <c r="CO97" s="28">
        <f t="shared" si="293"/>
        <v>15649.069200287511</v>
      </c>
      <c r="CP97" s="28">
        <f t="shared" si="294"/>
        <v>9597.6668244744196</v>
      </c>
      <c r="CQ97" s="28">
        <f t="shared" si="295"/>
        <v>5787.4686637554532</v>
      </c>
      <c r="CR97" s="28">
        <f t="shared" si="296"/>
        <v>3303.6965684751949</v>
      </c>
      <c r="CS97" s="28">
        <f t="shared" si="297"/>
        <v>4270.9585677986706</v>
      </c>
      <c r="CT97" s="44">
        <f t="shared" si="356"/>
        <v>0</v>
      </c>
      <c r="CU97" s="44">
        <f t="shared" si="357"/>
        <v>0</v>
      </c>
      <c r="CV97" s="44">
        <f t="shared" si="358"/>
        <v>3.9498611922302466E-2</v>
      </c>
      <c r="CW97" s="44">
        <f t="shared" si="359"/>
        <v>7.3077736815326394E-2</v>
      </c>
      <c r="CX97" s="44">
        <f t="shared" si="360"/>
        <v>0.1215251652387174</v>
      </c>
      <c r="CY97" s="44">
        <f t="shared" si="361"/>
        <v>0.19001022888077437</v>
      </c>
      <c r="CZ97" s="44">
        <f t="shared" si="362"/>
        <v>0.28431012240992432</v>
      </c>
      <c r="DA97" s="44">
        <f t="shared" si="363"/>
        <v>0.41159937644172728</v>
      </c>
      <c r="DB97" s="44">
        <f t="shared" si="364"/>
        <v>0.52941245851226881</v>
      </c>
      <c r="DC97" s="44">
        <f t="shared" si="365"/>
        <v>0.66951364182441542</v>
      </c>
      <c r="DD97" s="44">
        <f t="shared" si="366"/>
        <v>0.80151789053267597</v>
      </c>
      <c r="DE97" s="44">
        <f t="shared" si="367"/>
        <v>0.93082919390289354</v>
      </c>
      <c r="DF97" s="21">
        <f t="shared" si="298"/>
        <v>0</v>
      </c>
      <c r="DG97" s="21">
        <f t="shared" si="299"/>
        <v>0</v>
      </c>
      <c r="DH97" s="21">
        <f t="shared" si="300"/>
        <v>0</v>
      </c>
      <c r="DI97" s="21">
        <f t="shared" si="301"/>
        <v>0</v>
      </c>
      <c r="DJ97" s="21">
        <f t="shared" si="302"/>
        <v>57712.766897688554</v>
      </c>
      <c r="DK97" s="21">
        <f t="shared" si="303"/>
        <v>63861.746140353091</v>
      </c>
      <c r="DL97" s="21">
        <f t="shared" si="304"/>
        <v>30450.785402293252</v>
      </c>
      <c r="DM97" s="21">
        <f t="shared" si="305"/>
        <v>14519.652024212413</v>
      </c>
      <c r="DN97" s="21">
        <f t="shared" si="306"/>
        <v>6923.3122272221963</v>
      </c>
      <c r="DO97" s="21">
        <f t="shared" si="307"/>
        <v>3301.1984113444646</v>
      </c>
      <c r="DP97" s="21">
        <f t="shared" si="308"/>
        <v>1574.0891921951893</v>
      </c>
      <c r="DQ97" s="21">
        <f t="shared" si="309"/>
        <v>1752.2568565306976</v>
      </c>
      <c r="DR97" s="21">
        <f t="shared" si="310"/>
        <v>0</v>
      </c>
      <c r="DS97" s="21">
        <f t="shared" si="311"/>
        <v>5259294.9238574225</v>
      </c>
      <c r="DT97" s="21">
        <f t="shared" si="312"/>
        <v>5380534.1796488184</v>
      </c>
      <c r="DU97" s="21">
        <f t="shared" si="313"/>
        <v>4494545.6484577339</v>
      </c>
      <c r="DV97" s="13">
        <f t="shared" si="314"/>
        <v>0</v>
      </c>
      <c r="DW97" s="13">
        <f t="shared" si="315"/>
        <v>0</v>
      </c>
      <c r="DX97" s="13">
        <f t="shared" si="316"/>
        <v>0</v>
      </c>
      <c r="DY97" s="13">
        <f t="shared" si="317"/>
        <v>0</v>
      </c>
      <c r="DZ97" s="13">
        <f t="shared" si="318"/>
        <v>191553.75220346343</v>
      </c>
      <c r="EA97" s="13">
        <f t="shared" si="319"/>
        <v>308180.31661436427</v>
      </c>
      <c r="EB97" s="13">
        <f t="shared" si="320"/>
        <v>205324.99026256782</v>
      </c>
      <c r="EC97" s="13">
        <f t="shared" si="321"/>
        <v>132823.70561453563</v>
      </c>
      <c r="ED97" s="13">
        <f t="shared" si="322"/>
        <v>76862.731014901423</v>
      </c>
      <c r="EE97" s="13">
        <f t="shared" si="323"/>
        <v>43921.162350229242</v>
      </c>
      <c r="EF97" s="13">
        <f t="shared" si="324"/>
        <v>23907.174213474107</v>
      </c>
      <c r="EG97" s="13">
        <f t="shared" si="325"/>
        <v>29610.46436819655</v>
      </c>
      <c r="EH97" s="13">
        <f t="shared" si="326"/>
        <v>0</v>
      </c>
      <c r="EI97" s="13">
        <f t="shared" si="327"/>
        <v>52592.949238574227</v>
      </c>
      <c r="EJ97" s="13">
        <f t="shared" si="328"/>
        <v>107610.68359297638</v>
      </c>
      <c r="EK97" s="13">
        <f t="shared" si="329"/>
        <v>134836.36945373201</v>
      </c>
      <c r="EL97" s="21">
        <f t="shared" si="368"/>
        <v>1012184.2966417326</v>
      </c>
      <c r="EM97" s="21">
        <f t="shared" si="369"/>
        <v>295040.00228528259</v>
      </c>
      <c r="EN97" s="21">
        <f t="shared" si="330"/>
        <v>15182764449.625988</v>
      </c>
      <c r="EO97" s="21">
        <f t="shared" si="331"/>
        <v>6638400051.4188585</v>
      </c>
      <c r="EP97" s="21">
        <f t="shared" si="332"/>
        <v>12930228019.76273</v>
      </c>
      <c r="EQ97" s="21">
        <f t="shared" si="333"/>
        <v>4539324107.0020294</v>
      </c>
      <c r="ER97" s="21">
        <f t="shared" si="334"/>
        <v>117604006.82785359</v>
      </c>
      <c r="ES97" s="21">
        <f t="shared" si="335"/>
        <v>41286410.607591361</v>
      </c>
    </row>
    <row r="98" spans="1:149" x14ac:dyDescent="0.2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O98" s="3">
        <v>96</v>
      </c>
      <c r="P98" s="21">
        <f t="shared" si="380"/>
        <v>450507.28597265156</v>
      </c>
      <c r="Q98" s="21">
        <f t="shared" si="381"/>
        <v>419815.18888336571</v>
      </c>
      <c r="R98" s="13">
        <f t="shared" si="393"/>
        <v>692036.07592648745</v>
      </c>
      <c r="S98" s="13">
        <f t="shared" si="336"/>
        <v>512672.93441541889</v>
      </c>
      <c r="T98" s="13">
        <f t="shared" si="337"/>
        <v>399270.08278224349</v>
      </c>
      <c r="U98" s="13">
        <f t="shared" si="338"/>
        <v>326894.69555781467</v>
      </c>
      <c r="V98" s="13">
        <f t="shared" si="339"/>
        <v>267638.74027124757</v>
      </c>
      <c r="W98" s="13">
        <f t="shared" si="340"/>
        <v>167223.91379562844</v>
      </c>
      <c r="X98" s="13">
        <f t="shared" si="341"/>
        <v>79736.30257354732</v>
      </c>
      <c r="Y98" s="13">
        <f t="shared" si="342"/>
        <v>38020.147978778514</v>
      </c>
      <c r="Z98" s="13">
        <f t="shared" si="343"/>
        <v>18128.902465660303</v>
      </c>
      <c r="AA98" s="13">
        <f t="shared" si="344"/>
        <v>8644.2878863298884</v>
      </c>
      <c r="AB98" s="13">
        <f t="shared" si="345"/>
        <v>4121.8001587956669</v>
      </c>
      <c r="AC98" s="13">
        <f t="shared" si="346"/>
        <v>4588.3375766189274</v>
      </c>
      <c r="AD98" s="13">
        <f t="shared" si="347"/>
        <v>47617256.786134161</v>
      </c>
      <c r="AE98" s="13">
        <f t="shared" si="348"/>
        <v>32978657.533346687</v>
      </c>
      <c r="AF98" s="13">
        <f t="shared" si="349"/>
        <v>18515688.396479156</v>
      </c>
      <c r="AG98" s="13">
        <f t="shared" si="350"/>
        <v>15466792.688607519</v>
      </c>
      <c r="AH98" s="21">
        <f t="shared" si="250"/>
        <v>0</v>
      </c>
      <c r="AI98" s="21">
        <f t="shared" si="251"/>
        <v>1538.0188032462568</v>
      </c>
      <c r="AJ98" s="21">
        <f t="shared" si="252"/>
        <v>19753.361990279416</v>
      </c>
      <c r="AK98" s="21">
        <f t="shared" si="253"/>
        <v>89397.096743073926</v>
      </c>
      <c r="AL98" s="21">
        <f t="shared" si="254"/>
        <v>154751.53687473299</v>
      </c>
      <c r="AM98" s="21">
        <f t="shared" si="255"/>
        <v>135486.57520894232</v>
      </c>
      <c r="AN98" s="21">
        <f t="shared" si="256"/>
        <v>74691.93227389449</v>
      </c>
      <c r="AO98" s="21">
        <f t="shared" si="257"/>
        <v>37429.835154897475</v>
      </c>
      <c r="AP98" s="21">
        <f t="shared" si="258"/>
        <v>18030.624731241198</v>
      </c>
      <c r="AQ98" s="21">
        <f t="shared" si="259"/>
        <v>8618.3550226708994</v>
      </c>
      <c r="AR98" s="21">
        <f t="shared" si="260"/>
        <v>4121.8001587956669</v>
      </c>
      <c r="AS98" s="21">
        <f t="shared" si="261"/>
        <v>4588.3375766189274</v>
      </c>
      <c r="AT98" s="21">
        <f t="shared" si="262"/>
        <v>0</v>
      </c>
      <c r="AU98" s="21">
        <f t="shared" si="263"/>
        <v>16489328.766673343</v>
      </c>
      <c r="AV98" s="21">
        <f t="shared" si="264"/>
        <v>18515688.396479156</v>
      </c>
      <c r="AW98" s="21">
        <f t="shared" si="265"/>
        <v>15466792.688607519</v>
      </c>
      <c r="AX98" s="13">
        <f t="shared" si="351"/>
        <v>0.2</v>
      </c>
      <c r="AY98" s="13">
        <f t="shared" si="382"/>
        <v>0.6</v>
      </c>
      <c r="AZ98" s="13">
        <f t="shared" si="383"/>
        <v>1.2658</v>
      </c>
      <c r="BA98" s="13">
        <f t="shared" si="384"/>
        <v>2.1566490283456119</v>
      </c>
      <c r="BB98" s="13">
        <f t="shared" si="385"/>
        <v>3.3190880025392673</v>
      </c>
      <c r="BC98" s="13">
        <f t="shared" si="386"/>
        <v>4.8257420950729486</v>
      </c>
      <c r="BD98" s="13">
        <f t="shared" si="387"/>
        <v>6.7428471072245273</v>
      </c>
      <c r="BE98" s="13">
        <f t="shared" si="388"/>
        <v>9.147857358636692</v>
      </c>
      <c r="BF98" s="13">
        <f t="shared" si="389"/>
        <v>11.102017140391295</v>
      </c>
      <c r="BG98" s="13">
        <f t="shared" si="390"/>
        <v>13.304611500870584</v>
      </c>
      <c r="BH98" s="13">
        <f t="shared" si="391"/>
        <v>15.187941275509122</v>
      </c>
      <c r="BI98" s="13">
        <f t="shared" si="392"/>
        <v>16.898472537195548</v>
      </c>
      <c r="BJ98" s="13">
        <f t="shared" si="266"/>
        <v>4.0000000000000001E-3</v>
      </c>
      <c r="BK98" s="13">
        <f t="shared" si="267"/>
        <v>0.01</v>
      </c>
      <c r="BL98" s="13">
        <f t="shared" si="268"/>
        <v>0.02</v>
      </c>
      <c r="BM98" s="13">
        <f t="shared" si="269"/>
        <v>0.03</v>
      </c>
      <c r="BN98" s="30">
        <f t="shared" si="352"/>
        <v>4693566.6069653863</v>
      </c>
      <c r="BO98" s="30">
        <f t="shared" si="353"/>
        <v>1354573.1510658122</v>
      </c>
      <c r="BP98" s="30">
        <f t="shared" si="354"/>
        <v>2687198.8153184047</v>
      </c>
      <c r="BQ98" s="30">
        <f t="shared" si="355"/>
        <v>999210.83625454223</v>
      </c>
      <c r="BR98" s="36">
        <f t="shared" si="270"/>
        <v>0.3</v>
      </c>
      <c r="BS98" s="36">
        <f t="shared" si="271"/>
        <v>0.25</v>
      </c>
      <c r="BT98" s="36">
        <f t="shared" si="272"/>
        <v>0.2</v>
      </c>
      <c r="BU98" s="36">
        <f t="shared" si="273"/>
        <v>0.2</v>
      </c>
      <c r="BV98" s="36">
        <f t="shared" si="274"/>
        <v>0.2</v>
      </c>
      <c r="BW98" s="36">
        <f t="shared" si="275"/>
        <v>0.2</v>
      </c>
      <c r="BX98" s="36">
        <f t="shared" si="276"/>
        <v>0.2</v>
      </c>
      <c r="BY98" s="36">
        <f t="shared" si="277"/>
        <v>0.2</v>
      </c>
      <c r="BZ98" s="36">
        <f t="shared" si="278"/>
        <v>0.2</v>
      </c>
      <c r="CA98" s="36">
        <f t="shared" si="279"/>
        <v>0.2</v>
      </c>
      <c r="CB98" s="36">
        <f t="shared" si="280"/>
        <v>0.2</v>
      </c>
      <c r="CC98" s="36">
        <f t="shared" si="281"/>
        <v>0.2</v>
      </c>
      <c r="CD98" s="35">
        <f t="shared" si="282"/>
        <v>0.3673346222350512</v>
      </c>
      <c r="CE98" s="35">
        <f t="shared" si="283"/>
        <v>0.3673346222350512</v>
      </c>
      <c r="CF98" s="35">
        <f t="shared" si="284"/>
        <v>0.3673346222350512</v>
      </c>
      <c r="CG98" s="35">
        <f t="shared" si="285"/>
        <v>0.3673346222350512</v>
      </c>
      <c r="CH98" s="28">
        <f t="shared" si="286"/>
        <v>0</v>
      </c>
      <c r="CI98" s="28">
        <f t="shared" si="287"/>
        <v>0</v>
      </c>
      <c r="CJ98" s="28">
        <f t="shared" si="288"/>
        <v>15770.614052001478</v>
      </c>
      <c r="CK98" s="28">
        <f t="shared" si="289"/>
        <v>23888.724528300321</v>
      </c>
      <c r="CL98" s="28">
        <f t="shared" si="290"/>
        <v>32524.842135745661</v>
      </c>
      <c r="CM98" s="28">
        <f t="shared" si="291"/>
        <v>31774.254134646373</v>
      </c>
      <c r="CN98" s="28">
        <f t="shared" si="292"/>
        <v>22669.837945200088</v>
      </c>
      <c r="CO98" s="28">
        <f t="shared" si="293"/>
        <v>15649.069200287498</v>
      </c>
      <c r="CP98" s="28">
        <f t="shared" si="294"/>
        <v>9597.6668244743923</v>
      </c>
      <c r="CQ98" s="28">
        <f t="shared" si="295"/>
        <v>5787.468663755425</v>
      </c>
      <c r="CR98" s="28">
        <f t="shared" si="296"/>
        <v>3303.6965684751649</v>
      </c>
      <c r="CS98" s="28">
        <f t="shared" si="297"/>
        <v>4270.9585677985688</v>
      </c>
      <c r="CT98" s="44">
        <f t="shared" si="356"/>
        <v>0</v>
      </c>
      <c r="CU98" s="44">
        <f t="shared" si="357"/>
        <v>0</v>
      </c>
      <c r="CV98" s="44">
        <f t="shared" si="358"/>
        <v>3.9498611922302619E-2</v>
      </c>
      <c r="CW98" s="44">
        <f t="shared" si="359"/>
        <v>7.3077736815326685E-2</v>
      </c>
      <c r="CX98" s="44">
        <f t="shared" si="360"/>
        <v>0.12152516523871788</v>
      </c>
      <c r="CY98" s="44">
        <f t="shared" si="361"/>
        <v>0.19001022888077515</v>
      </c>
      <c r="CZ98" s="44">
        <f t="shared" si="362"/>
        <v>0.28431012240992543</v>
      </c>
      <c r="DA98" s="44">
        <f t="shared" si="363"/>
        <v>0.41159937644172895</v>
      </c>
      <c r="DB98" s="44">
        <f t="shared" si="364"/>
        <v>0.52941245851227092</v>
      </c>
      <c r="DC98" s="44">
        <f t="shared" si="365"/>
        <v>0.66951364182441808</v>
      </c>
      <c r="DD98" s="44">
        <f t="shared" si="366"/>
        <v>0.80151789053267919</v>
      </c>
      <c r="DE98" s="44">
        <f t="shared" si="367"/>
        <v>0.93082919390289709</v>
      </c>
      <c r="DF98" s="21">
        <f t="shared" si="298"/>
        <v>0</v>
      </c>
      <c r="DG98" s="21">
        <f t="shared" si="299"/>
        <v>0</v>
      </c>
      <c r="DH98" s="21">
        <f t="shared" si="300"/>
        <v>0</v>
      </c>
      <c r="DI98" s="21">
        <f t="shared" si="301"/>
        <v>0</v>
      </c>
      <c r="DJ98" s="21">
        <f t="shared" si="302"/>
        <v>57712.766897688445</v>
      </c>
      <c r="DK98" s="21">
        <f t="shared" si="303"/>
        <v>63861.746140352945</v>
      </c>
      <c r="DL98" s="21">
        <f t="shared" si="304"/>
        <v>30450.785402293146</v>
      </c>
      <c r="DM98" s="21">
        <f t="shared" si="305"/>
        <v>14519.652024212341</v>
      </c>
      <c r="DN98" s="21">
        <f t="shared" si="306"/>
        <v>6923.3122272221481</v>
      </c>
      <c r="DO98" s="21">
        <f t="shared" si="307"/>
        <v>3301.1984113444355</v>
      </c>
      <c r="DP98" s="21">
        <f t="shared" si="308"/>
        <v>1574.0891921951688</v>
      </c>
      <c r="DQ98" s="21">
        <f t="shared" si="309"/>
        <v>1752.2568565306492</v>
      </c>
      <c r="DR98" s="21">
        <f t="shared" si="310"/>
        <v>0</v>
      </c>
      <c r="DS98" s="21">
        <f t="shared" si="311"/>
        <v>5259294.9238574309</v>
      </c>
      <c r="DT98" s="21">
        <f t="shared" si="312"/>
        <v>5380534.1796488333</v>
      </c>
      <c r="DU98" s="21">
        <f t="shared" si="313"/>
        <v>4494545.6484577702</v>
      </c>
      <c r="DV98" s="13">
        <f t="shared" si="314"/>
        <v>0</v>
      </c>
      <c r="DW98" s="13">
        <f t="shared" si="315"/>
        <v>0</v>
      </c>
      <c r="DX98" s="13">
        <f t="shared" si="316"/>
        <v>0</v>
      </c>
      <c r="DY98" s="13">
        <f t="shared" si="317"/>
        <v>0</v>
      </c>
      <c r="DZ98" s="13">
        <f t="shared" si="318"/>
        <v>191553.75220346308</v>
      </c>
      <c r="EA98" s="13">
        <f t="shared" si="319"/>
        <v>308180.31661436363</v>
      </c>
      <c r="EB98" s="13">
        <f t="shared" si="320"/>
        <v>205324.99026256721</v>
      </c>
      <c r="EC98" s="13">
        <f t="shared" si="321"/>
        <v>132823.70561453499</v>
      </c>
      <c r="ED98" s="13">
        <f t="shared" si="322"/>
        <v>76862.731014900914</v>
      </c>
      <c r="EE98" s="13">
        <f t="shared" si="323"/>
        <v>43921.162350228878</v>
      </c>
      <c r="EF98" s="13">
        <f t="shared" si="324"/>
        <v>23907.174213473816</v>
      </c>
      <c r="EG98" s="13">
        <f t="shared" si="325"/>
        <v>29610.464368195775</v>
      </c>
      <c r="EH98" s="13">
        <f t="shared" si="326"/>
        <v>0</v>
      </c>
      <c r="EI98" s="13">
        <f t="shared" si="327"/>
        <v>52592.949238574307</v>
      </c>
      <c r="EJ98" s="13">
        <f t="shared" si="328"/>
        <v>107610.68359297667</v>
      </c>
      <c r="EK98" s="13">
        <f t="shared" si="329"/>
        <v>134836.36945373309</v>
      </c>
      <c r="EL98" s="21">
        <f t="shared" si="368"/>
        <v>1012184.2966417283</v>
      </c>
      <c r="EM98" s="21">
        <f t="shared" si="369"/>
        <v>295040.00228528405</v>
      </c>
      <c r="EN98" s="21">
        <f t="shared" si="330"/>
        <v>15182764449.625923</v>
      </c>
      <c r="EO98" s="21">
        <f t="shared" si="331"/>
        <v>6638400051.418891</v>
      </c>
      <c r="EP98" s="21">
        <f t="shared" si="332"/>
        <v>12930228019.762665</v>
      </c>
      <c r="EQ98" s="21">
        <f t="shared" si="333"/>
        <v>4539324107.0020618</v>
      </c>
      <c r="ER98" s="21">
        <f t="shared" si="334"/>
        <v>111868391.73383667</v>
      </c>
      <c r="ES98" s="21">
        <f t="shared" si="335"/>
        <v>39272848.601959594</v>
      </c>
    </row>
    <row r="99" spans="1:149" x14ac:dyDescent="0.25">
      <c r="O99" s="3">
        <v>97</v>
      </c>
      <c r="P99" s="21">
        <f t="shared" si="380"/>
        <v>450507.28597265156</v>
      </c>
      <c r="Q99" s="21">
        <f t="shared" si="381"/>
        <v>419815.18888336571</v>
      </c>
      <c r="R99" s="13">
        <f t="shared" si="393"/>
        <v>692036.07592648722</v>
      </c>
      <c r="S99" s="13">
        <f t="shared" si="336"/>
        <v>512672.93441541865</v>
      </c>
      <c r="T99" s="13">
        <f t="shared" si="337"/>
        <v>399270.0827822432</v>
      </c>
      <c r="U99" s="13">
        <f t="shared" si="338"/>
        <v>326894.69555781438</v>
      </c>
      <c r="V99" s="13">
        <f t="shared" si="339"/>
        <v>267638.74027124722</v>
      </c>
      <c r="W99" s="13">
        <f t="shared" si="340"/>
        <v>167223.91379562815</v>
      </c>
      <c r="X99" s="13">
        <f t="shared" si="341"/>
        <v>79736.302573547116</v>
      </c>
      <c r="Y99" s="13">
        <f t="shared" si="342"/>
        <v>38020.147978778383</v>
      </c>
      <c r="Z99" s="13">
        <f t="shared" si="343"/>
        <v>18128.902465660216</v>
      </c>
      <c r="AA99" s="13">
        <f t="shared" si="344"/>
        <v>8644.2878863298283</v>
      </c>
      <c r="AB99" s="13">
        <f t="shared" si="345"/>
        <v>4121.8001587956305</v>
      </c>
      <c r="AC99" s="13">
        <f t="shared" si="346"/>
        <v>4588.3375766188365</v>
      </c>
      <c r="AD99" s="13">
        <f t="shared" si="347"/>
        <v>47617256.786134169</v>
      </c>
      <c r="AE99" s="13">
        <f t="shared" si="348"/>
        <v>32978657.533346724</v>
      </c>
      <c r="AF99" s="13">
        <f t="shared" si="349"/>
        <v>18515688.396479189</v>
      </c>
      <c r="AG99" s="13">
        <f t="shared" si="350"/>
        <v>15466792.688607605</v>
      </c>
      <c r="AH99" s="21">
        <f t="shared" si="250"/>
        <v>0</v>
      </c>
      <c r="AI99" s="21">
        <f t="shared" si="251"/>
        <v>1538.0188032462561</v>
      </c>
      <c r="AJ99" s="21">
        <f t="shared" si="252"/>
        <v>19753.361990279402</v>
      </c>
      <c r="AK99" s="21">
        <f t="shared" si="253"/>
        <v>89397.096743073853</v>
      </c>
      <c r="AL99" s="21">
        <f t="shared" si="254"/>
        <v>154751.53687473279</v>
      </c>
      <c r="AM99" s="21">
        <f t="shared" si="255"/>
        <v>135486.57520894209</v>
      </c>
      <c r="AN99" s="21">
        <f t="shared" si="256"/>
        <v>74691.932273894301</v>
      </c>
      <c r="AO99" s="21">
        <f t="shared" si="257"/>
        <v>37429.835154897351</v>
      </c>
      <c r="AP99" s="21">
        <f t="shared" si="258"/>
        <v>18030.624731241111</v>
      </c>
      <c r="AQ99" s="21">
        <f t="shared" si="259"/>
        <v>8618.3550226708394</v>
      </c>
      <c r="AR99" s="21">
        <f t="shared" si="260"/>
        <v>4121.8001587956305</v>
      </c>
      <c r="AS99" s="21">
        <f t="shared" si="261"/>
        <v>4588.3375766188365</v>
      </c>
      <c r="AT99" s="21">
        <f t="shared" si="262"/>
        <v>0</v>
      </c>
      <c r="AU99" s="21">
        <f t="shared" si="263"/>
        <v>16489328.766673362</v>
      </c>
      <c r="AV99" s="21">
        <f t="shared" si="264"/>
        <v>18515688.396479189</v>
      </c>
      <c r="AW99" s="21">
        <f t="shared" si="265"/>
        <v>15466792.688607605</v>
      </c>
      <c r="AX99" s="13">
        <f t="shared" si="351"/>
        <v>0.2</v>
      </c>
      <c r="AY99" s="13">
        <f t="shared" si="382"/>
        <v>0.6</v>
      </c>
      <c r="AZ99" s="13">
        <f t="shared" si="383"/>
        <v>1.2658</v>
      </c>
      <c r="BA99" s="13">
        <f t="shared" si="384"/>
        <v>2.1566490283456119</v>
      </c>
      <c r="BB99" s="13">
        <f t="shared" si="385"/>
        <v>3.3190880025392677</v>
      </c>
      <c r="BC99" s="13">
        <f t="shared" si="386"/>
        <v>4.8257420950729495</v>
      </c>
      <c r="BD99" s="13">
        <f t="shared" si="387"/>
        <v>6.7428471072245282</v>
      </c>
      <c r="BE99" s="13">
        <f t="shared" si="388"/>
        <v>9.1478573586366956</v>
      </c>
      <c r="BF99" s="13">
        <f t="shared" si="389"/>
        <v>11.102017140391297</v>
      </c>
      <c r="BG99" s="13">
        <f t="shared" si="390"/>
        <v>13.304611500870591</v>
      </c>
      <c r="BH99" s="13">
        <f t="shared" si="391"/>
        <v>15.187941275509129</v>
      </c>
      <c r="BI99" s="13">
        <f t="shared" si="392"/>
        <v>16.898472537195559</v>
      </c>
      <c r="BJ99" s="13">
        <f t="shared" si="266"/>
        <v>4.0000000000000001E-3</v>
      </c>
      <c r="BK99" s="13">
        <f t="shared" si="267"/>
        <v>0.01</v>
      </c>
      <c r="BL99" s="13">
        <f t="shared" si="268"/>
        <v>0.02</v>
      </c>
      <c r="BM99" s="13">
        <f t="shared" si="269"/>
        <v>0.03</v>
      </c>
      <c r="BN99" s="30">
        <f t="shared" si="352"/>
        <v>4693566.6069653761</v>
      </c>
      <c r="BO99" s="30">
        <f t="shared" si="353"/>
        <v>1354573.1510658157</v>
      </c>
      <c r="BP99" s="30">
        <f t="shared" si="354"/>
        <v>2687198.8153183972</v>
      </c>
      <c r="BQ99" s="30">
        <f t="shared" si="355"/>
        <v>999210.83625454549</v>
      </c>
      <c r="BR99" s="36">
        <f t="shared" si="270"/>
        <v>0.3</v>
      </c>
      <c r="BS99" s="36">
        <f t="shared" si="271"/>
        <v>0.25</v>
      </c>
      <c r="BT99" s="36">
        <f t="shared" si="272"/>
        <v>0.2</v>
      </c>
      <c r="BU99" s="36">
        <f t="shared" si="273"/>
        <v>0.2</v>
      </c>
      <c r="BV99" s="36">
        <f t="shared" si="274"/>
        <v>0.2</v>
      </c>
      <c r="BW99" s="36">
        <f t="shared" si="275"/>
        <v>0.2</v>
      </c>
      <c r="BX99" s="36">
        <f t="shared" si="276"/>
        <v>0.2</v>
      </c>
      <c r="BY99" s="36">
        <f t="shared" si="277"/>
        <v>0.2</v>
      </c>
      <c r="BZ99" s="36">
        <f t="shared" si="278"/>
        <v>0.2</v>
      </c>
      <c r="CA99" s="36">
        <f t="shared" si="279"/>
        <v>0.2</v>
      </c>
      <c r="CB99" s="36">
        <f t="shared" si="280"/>
        <v>0.2</v>
      </c>
      <c r="CC99" s="36">
        <f t="shared" si="281"/>
        <v>0.2</v>
      </c>
      <c r="CD99" s="35">
        <f t="shared" si="282"/>
        <v>0.36733462223505076</v>
      </c>
      <c r="CE99" s="35">
        <f t="shared" si="283"/>
        <v>0.36733462223505076</v>
      </c>
      <c r="CF99" s="35">
        <f t="shared" si="284"/>
        <v>0.36733462223505076</v>
      </c>
      <c r="CG99" s="35">
        <f t="shared" si="285"/>
        <v>0.36733462223505076</v>
      </c>
      <c r="CH99" s="28">
        <f t="shared" si="286"/>
        <v>0</v>
      </c>
      <c r="CI99" s="28">
        <f t="shared" si="287"/>
        <v>0</v>
      </c>
      <c r="CJ99" s="28">
        <f t="shared" si="288"/>
        <v>15770.614052001511</v>
      </c>
      <c r="CK99" s="28">
        <f t="shared" si="289"/>
        <v>23888.724528300369</v>
      </c>
      <c r="CL99" s="28">
        <f t="shared" si="290"/>
        <v>32524.842135745712</v>
      </c>
      <c r="CM99" s="28">
        <f t="shared" si="291"/>
        <v>31774.254134646399</v>
      </c>
      <c r="CN99" s="28">
        <f t="shared" si="292"/>
        <v>22669.837945200095</v>
      </c>
      <c r="CO99" s="28">
        <f t="shared" si="293"/>
        <v>15649.069200287486</v>
      </c>
      <c r="CP99" s="28">
        <f t="shared" si="294"/>
        <v>9597.6668244743723</v>
      </c>
      <c r="CQ99" s="28">
        <f t="shared" si="295"/>
        <v>5787.4686637554005</v>
      </c>
      <c r="CR99" s="28">
        <f t="shared" si="296"/>
        <v>3303.6965684751449</v>
      </c>
      <c r="CS99" s="28">
        <f t="shared" si="297"/>
        <v>4270.958567798496</v>
      </c>
      <c r="CT99" s="44">
        <f t="shared" si="356"/>
        <v>0</v>
      </c>
      <c r="CU99" s="44">
        <f t="shared" si="357"/>
        <v>0</v>
      </c>
      <c r="CV99" s="44">
        <f t="shared" si="358"/>
        <v>3.949861192230273E-2</v>
      </c>
      <c r="CW99" s="44">
        <f t="shared" si="359"/>
        <v>7.3077736815326894E-2</v>
      </c>
      <c r="CX99" s="44">
        <f t="shared" si="360"/>
        <v>0.12152516523871823</v>
      </c>
      <c r="CY99" s="44">
        <f t="shared" si="361"/>
        <v>0.19001022888077562</v>
      </c>
      <c r="CZ99" s="44">
        <f t="shared" si="362"/>
        <v>0.2843101224099262</v>
      </c>
      <c r="DA99" s="44">
        <f t="shared" si="363"/>
        <v>0.41159937644173006</v>
      </c>
      <c r="DB99" s="44">
        <f t="shared" si="364"/>
        <v>0.52941245851227248</v>
      </c>
      <c r="DC99" s="44">
        <f t="shared" si="365"/>
        <v>0.66951364182441986</v>
      </c>
      <c r="DD99" s="44">
        <f t="shared" si="366"/>
        <v>0.80151789053268141</v>
      </c>
      <c r="DE99" s="44">
        <f t="shared" si="367"/>
        <v>0.93082919390289975</v>
      </c>
      <c r="DF99" s="21">
        <f t="shared" si="298"/>
        <v>0</v>
      </c>
      <c r="DG99" s="21">
        <f t="shared" si="299"/>
        <v>0</v>
      </c>
      <c r="DH99" s="21">
        <f t="shared" si="300"/>
        <v>0</v>
      </c>
      <c r="DI99" s="21">
        <f t="shared" si="301"/>
        <v>0</v>
      </c>
      <c r="DJ99" s="21">
        <f t="shared" si="302"/>
        <v>57712.76689768838</v>
      </c>
      <c r="DK99" s="21">
        <f t="shared" si="303"/>
        <v>63861.746140352829</v>
      </c>
      <c r="DL99" s="21">
        <f t="shared" si="304"/>
        <v>30450.78540229307</v>
      </c>
      <c r="DM99" s="21">
        <f t="shared" si="305"/>
        <v>14519.65202421229</v>
      </c>
      <c r="DN99" s="21">
        <f t="shared" si="306"/>
        <v>6923.3122272221144</v>
      </c>
      <c r="DO99" s="21">
        <f t="shared" si="307"/>
        <v>3301.1984113444128</v>
      </c>
      <c r="DP99" s="21">
        <f t="shared" si="308"/>
        <v>1574.0891921951547</v>
      </c>
      <c r="DQ99" s="21">
        <f t="shared" si="309"/>
        <v>1752.2568565306144</v>
      </c>
      <c r="DR99" s="21">
        <f t="shared" si="310"/>
        <v>0</v>
      </c>
      <c r="DS99" s="21">
        <f t="shared" si="311"/>
        <v>5259294.9238574365</v>
      </c>
      <c r="DT99" s="21">
        <f t="shared" si="312"/>
        <v>5380534.1796488445</v>
      </c>
      <c r="DU99" s="21">
        <f t="shared" si="313"/>
        <v>4494545.6484577963</v>
      </c>
      <c r="DV99" s="13">
        <f t="shared" si="314"/>
        <v>0</v>
      </c>
      <c r="DW99" s="13">
        <f t="shared" si="315"/>
        <v>0</v>
      </c>
      <c r="DX99" s="13">
        <f t="shared" si="316"/>
        <v>0</v>
      </c>
      <c r="DY99" s="13">
        <f t="shared" si="317"/>
        <v>0</v>
      </c>
      <c r="DZ99" s="13">
        <f t="shared" si="318"/>
        <v>191553.75220346291</v>
      </c>
      <c r="EA99" s="13">
        <f t="shared" si="319"/>
        <v>308180.31661436311</v>
      </c>
      <c r="EB99" s="13">
        <f t="shared" si="320"/>
        <v>205324.99026256672</v>
      </c>
      <c r="EC99" s="13">
        <f t="shared" si="321"/>
        <v>132823.70561453459</v>
      </c>
      <c r="ED99" s="13">
        <f t="shared" si="322"/>
        <v>76862.731014900564</v>
      </c>
      <c r="EE99" s="13">
        <f t="shared" si="323"/>
        <v>43921.162350228595</v>
      </c>
      <c r="EF99" s="13">
        <f t="shared" si="324"/>
        <v>23907.174213473612</v>
      </c>
      <c r="EG99" s="13">
        <f t="shared" si="325"/>
        <v>29610.464368195207</v>
      </c>
      <c r="EH99" s="13">
        <f t="shared" si="326"/>
        <v>0</v>
      </c>
      <c r="EI99" s="13">
        <f t="shared" si="327"/>
        <v>52592.949238574365</v>
      </c>
      <c r="EJ99" s="13">
        <f t="shared" si="328"/>
        <v>107610.68359297689</v>
      </c>
      <c r="EK99" s="13">
        <f t="shared" si="329"/>
        <v>134836.36945373387</v>
      </c>
      <c r="EL99" s="21">
        <f t="shared" si="368"/>
        <v>1012184.2966417252</v>
      </c>
      <c r="EM99" s="21">
        <f t="shared" si="369"/>
        <v>295040.00228528515</v>
      </c>
      <c r="EN99" s="21">
        <f t="shared" si="330"/>
        <v>15182764449.625879</v>
      </c>
      <c r="EO99" s="21">
        <f t="shared" si="331"/>
        <v>6638400051.4189157</v>
      </c>
      <c r="EP99" s="21">
        <f t="shared" si="332"/>
        <v>12930228019.762621</v>
      </c>
      <c r="EQ99" s="21">
        <f t="shared" si="333"/>
        <v>4539324107.0020866</v>
      </c>
      <c r="ER99" s="21">
        <f t="shared" si="334"/>
        <v>106412505.88879745</v>
      </c>
      <c r="ES99" s="21">
        <f t="shared" si="335"/>
        <v>37357489.174145877</v>
      </c>
    </row>
    <row r="100" spans="1:149" x14ac:dyDescent="0.25">
      <c r="O100" s="3">
        <v>98</v>
      </c>
      <c r="P100" s="21">
        <f t="shared" si="380"/>
        <v>450507.28597265156</v>
      </c>
      <c r="Q100" s="21">
        <f t="shared" si="381"/>
        <v>419815.18888336571</v>
      </c>
      <c r="R100" s="13">
        <f t="shared" si="393"/>
        <v>692036.07592648698</v>
      </c>
      <c r="S100" s="13">
        <f t="shared" si="336"/>
        <v>512672.93441541848</v>
      </c>
      <c r="T100" s="13">
        <f t="shared" si="337"/>
        <v>399270.08278224303</v>
      </c>
      <c r="U100" s="13">
        <f t="shared" si="338"/>
        <v>326894.69555781415</v>
      </c>
      <c r="V100" s="13">
        <f t="shared" si="339"/>
        <v>267638.74027124699</v>
      </c>
      <c r="W100" s="13">
        <f t="shared" si="340"/>
        <v>167223.91379562794</v>
      </c>
      <c r="X100" s="13">
        <f t="shared" si="341"/>
        <v>79736.302573546986</v>
      </c>
      <c r="Y100" s="13">
        <f t="shared" si="342"/>
        <v>38020.147978778288</v>
      </c>
      <c r="Z100" s="13">
        <f t="shared" si="343"/>
        <v>18128.90246566015</v>
      </c>
      <c r="AA100" s="13">
        <f t="shared" si="344"/>
        <v>8644.2878863297865</v>
      </c>
      <c r="AB100" s="13">
        <f t="shared" si="345"/>
        <v>4121.8001587956014</v>
      </c>
      <c r="AC100" s="13">
        <f t="shared" si="346"/>
        <v>4588.337576618771</v>
      </c>
      <c r="AD100" s="13">
        <f t="shared" si="347"/>
        <v>47617256.786134176</v>
      </c>
      <c r="AE100" s="13">
        <f t="shared" si="348"/>
        <v>32978657.533346739</v>
      </c>
      <c r="AF100" s="13">
        <f t="shared" si="349"/>
        <v>18515688.396479223</v>
      </c>
      <c r="AG100" s="13">
        <f t="shared" si="350"/>
        <v>15466792.688607669</v>
      </c>
      <c r="AH100" s="21">
        <f t="shared" si="250"/>
        <v>0</v>
      </c>
      <c r="AI100" s="21">
        <f t="shared" si="251"/>
        <v>1538.0188032462554</v>
      </c>
      <c r="AJ100" s="21">
        <f t="shared" si="252"/>
        <v>19753.361990279394</v>
      </c>
      <c r="AK100" s="21">
        <f t="shared" si="253"/>
        <v>89397.096743073795</v>
      </c>
      <c r="AL100" s="21">
        <f t="shared" si="254"/>
        <v>154751.53687473264</v>
      </c>
      <c r="AM100" s="21">
        <f t="shared" si="255"/>
        <v>135486.57520894191</v>
      </c>
      <c r="AN100" s="21">
        <f t="shared" si="256"/>
        <v>74691.93227389417</v>
      </c>
      <c r="AO100" s="21">
        <f t="shared" si="257"/>
        <v>37429.835154897257</v>
      </c>
      <c r="AP100" s="21">
        <f t="shared" si="258"/>
        <v>18030.624731241045</v>
      </c>
      <c r="AQ100" s="21">
        <f t="shared" si="259"/>
        <v>8618.3550226707976</v>
      </c>
      <c r="AR100" s="21">
        <f t="shared" si="260"/>
        <v>4121.8001587956014</v>
      </c>
      <c r="AS100" s="21">
        <f t="shared" si="261"/>
        <v>4588.337576618771</v>
      </c>
      <c r="AT100" s="21">
        <f t="shared" si="262"/>
        <v>0</v>
      </c>
      <c r="AU100" s="21">
        <f t="shared" si="263"/>
        <v>16489328.766673369</v>
      </c>
      <c r="AV100" s="21">
        <f t="shared" si="264"/>
        <v>18515688.396479223</v>
      </c>
      <c r="AW100" s="21">
        <f t="shared" si="265"/>
        <v>15466792.688607669</v>
      </c>
      <c r="AX100" s="13">
        <f t="shared" si="351"/>
        <v>0.2</v>
      </c>
      <c r="AY100" s="13">
        <f t="shared" si="382"/>
        <v>0.6</v>
      </c>
      <c r="AZ100" s="13">
        <f t="shared" si="383"/>
        <v>1.2658</v>
      </c>
      <c r="BA100" s="13">
        <f t="shared" si="384"/>
        <v>2.1566490283456119</v>
      </c>
      <c r="BB100" s="13">
        <f t="shared" si="385"/>
        <v>3.3190880025392677</v>
      </c>
      <c r="BC100" s="13">
        <f t="shared" si="386"/>
        <v>4.8257420950729504</v>
      </c>
      <c r="BD100" s="13">
        <f t="shared" si="387"/>
        <v>6.7428471072245291</v>
      </c>
      <c r="BE100" s="13">
        <f t="shared" si="388"/>
        <v>9.1478573586366974</v>
      </c>
      <c r="BF100" s="13">
        <f t="shared" si="389"/>
        <v>11.102017140391302</v>
      </c>
      <c r="BG100" s="13">
        <f t="shared" si="390"/>
        <v>13.304611500870593</v>
      </c>
      <c r="BH100" s="13">
        <f t="shared" si="391"/>
        <v>15.187941275509138</v>
      </c>
      <c r="BI100" s="13">
        <f t="shared" si="392"/>
        <v>16.898472537195566</v>
      </c>
      <c r="BJ100" s="13">
        <f t="shared" si="266"/>
        <v>4.0000000000000001E-3</v>
      </c>
      <c r="BK100" s="13">
        <f t="shared" si="267"/>
        <v>0.01</v>
      </c>
      <c r="BL100" s="13">
        <f t="shared" si="268"/>
        <v>0.02</v>
      </c>
      <c r="BM100" s="13">
        <f t="shared" si="269"/>
        <v>0.03</v>
      </c>
      <c r="BN100" s="30">
        <f t="shared" si="352"/>
        <v>4693566.6069653677</v>
      </c>
      <c r="BO100" s="30">
        <f t="shared" si="353"/>
        <v>1354573.1510658185</v>
      </c>
      <c r="BP100" s="30">
        <f t="shared" si="354"/>
        <v>2687198.8153183912</v>
      </c>
      <c r="BQ100" s="30">
        <f t="shared" si="355"/>
        <v>999210.83625454828</v>
      </c>
      <c r="BR100" s="36">
        <f t="shared" si="270"/>
        <v>0.3</v>
      </c>
      <c r="BS100" s="36">
        <f t="shared" si="271"/>
        <v>0.25</v>
      </c>
      <c r="BT100" s="36">
        <f t="shared" si="272"/>
        <v>0.2</v>
      </c>
      <c r="BU100" s="36">
        <f t="shared" si="273"/>
        <v>0.2</v>
      </c>
      <c r="BV100" s="36">
        <f t="shared" si="274"/>
        <v>0.2</v>
      </c>
      <c r="BW100" s="36">
        <f t="shared" si="275"/>
        <v>0.2</v>
      </c>
      <c r="BX100" s="36">
        <f t="shared" si="276"/>
        <v>0.2</v>
      </c>
      <c r="BY100" s="36">
        <f t="shared" si="277"/>
        <v>0.2</v>
      </c>
      <c r="BZ100" s="36">
        <f t="shared" si="278"/>
        <v>0.2</v>
      </c>
      <c r="CA100" s="36">
        <f t="shared" si="279"/>
        <v>0.2</v>
      </c>
      <c r="CB100" s="36">
        <f t="shared" si="280"/>
        <v>0.2</v>
      </c>
      <c r="CC100" s="36">
        <f t="shared" si="281"/>
        <v>0.2</v>
      </c>
      <c r="CD100" s="35">
        <f t="shared" si="282"/>
        <v>0.36733462223505042</v>
      </c>
      <c r="CE100" s="35">
        <f t="shared" si="283"/>
        <v>0.36733462223505042</v>
      </c>
      <c r="CF100" s="35">
        <f t="shared" si="284"/>
        <v>0.36733462223505042</v>
      </c>
      <c r="CG100" s="35">
        <f t="shared" si="285"/>
        <v>0.36733462223505042</v>
      </c>
      <c r="CH100" s="28">
        <f t="shared" si="286"/>
        <v>0</v>
      </c>
      <c r="CI100" s="28">
        <f t="shared" si="287"/>
        <v>0</v>
      </c>
      <c r="CJ100" s="28">
        <f t="shared" si="288"/>
        <v>15770.61405200154</v>
      </c>
      <c r="CK100" s="28">
        <f t="shared" si="289"/>
        <v>23888.724528300401</v>
      </c>
      <c r="CL100" s="28">
        <f t="shared" si="290"/>
        <v>32524.842135745756</v>
      </c>
      <c r="CM100" s="28">
        <f t="shared" si="291"/>
        <v>31774.254134646428</v>
      </c>
      <c r="CN100" s="28">
        <f t="shared" si="292"/>
        <v>22669.837945200106</v>
      </c>
      <c r="CO100" s="28">
        <f t="shared" si="293"/>
        <v>15649.069200287482</v>
      </c>
      <c r="CP100" s="28">
        <f t="shared" si="294"/>
        <v>9597.6668244743578</v>
      </c>
      <c r="CQ100" s="28">
        <f t="shared" si="295"/>
        <v>5787.4686637553859</v>
      </c>
      <c r="CR100" s="28">
        <f t="shared" si="296"/>
        <v>3303.6965684751285</v>
      </c>
      <c r="CS100" s="28">
        <f t="shared" si="297"/>
        <v>4270.9585677984442</v>
      </c>
      <c r="CT100" s="44">
        <f t="shared" si="356"/>
        <v>0</v>
      </c>
      <c r="CU100" s="44">
        <f t="shared" si="357"/>
        <v>0</v>
      </c>
      <c r="CV100" s="44">
        <f t="shared" si="358"/>
        <v>3.949861192230282E-2</v>
      </c>
      <c r="CW100" s="44">
        <f t="shared" si="359"/>
        <v>7.3077736815327046E-2</v>
      </c>
      <c r="CX100" s="44">
        <f t="shared" si="360"/>
        <v>0.12152516523871851</v>
      </c>
      <c r="CY100" s="44">
        <f t="shared" si="361"/>
        <v>0.19001022888077604</v>
      </c>
      <c r="CZ100" s="44">
        <f t="shared" si="362"/>
        <v>0.28431012240992681</v>
      </c>
      <c r="DA100" s="44">
        <f t="shared" si="363"/>
        <v>0.411599376441731</v>
      </c>
      <c r="DB100" s="44">
        <f t="shared" si="364"/>
        <v>0.52941245851227359</v>
      </c>
      <c r="DC100" s="44">
        <f t="shared" si="365"/>
        <v>0.66951364182442141</v>
      </c>
      <c r="DD100" s="44">
        <f t="shared" si="366"/>
        <v>0.80151789053268307</v>
      </c>
      <c r="DE100" s="44">
        <f t="shared" si="367"/>
        <v>0.93082919390290175</v>
      </c>
      <c r="DF100" s="21">
        <f t="shared" si="298"/>
        <v>0</v>
      </c>
      <c r="DG100" s="21">
        <f t="shared" si="299"/>
        <v>0</v>
      </c>
      <c r="DH100" s="21">
        <f t="shared" si="300"/>
        <v>0</v>
      </c>
      <c r="DI100" s="21">
        <f t="shared" si="301"/>
        <v>0</v>
      </c>
      <c r="DJ100" s="21">
        <f t="shared" si="302"/>
        <v>57712.766897688329</v>
      </c>
      <c r="DK100" s="21">
        <f t="shared" si="303"/>
        <v>63861.746140352749</v>
      </c>
      <c r="DL100" s="21">
        <f t="shared" si="304"/>
        <v>30450.785402293019</v>
      </c>
      <c r="DM100" s="21">
        <f t="shared" si="305"/>
        <v>14519.652024212253</v>
      </c>
      <c r="DN100" s="21">
        <f t="shared" si="306"/>
        <v>6923.3122272220899</v>
      </c>
      <c r="DO100" s="21">
        <f t="shared" si="307"/>
        <v>3301.1984113443964</v>
      </c>
      <c r="DP100" s="21">
        <f t="shared" si="308"/>
        <v>1574.0891921951438</v>
      </c>
      <c r="DQ100" s="21">
        <f t="shared" si="309"/>
        <v>1752.2568565305894</v>
      </c>
      <c r="DR100" s="21">
        <f t="shared" si="310"/>
        <v>0</v>
      </c>
      <c r="DS100" s="21">
        <f t="shared" si="311"/>
        <v>5259294.9238574412</v>
      </c>
      <c r="DT100" s="21">
        <f t="shared" si="312"/>
        <v>5380534.1796488538</v>
      </c>
      <c r="DU100" s="21">
        <f t="shared" si="313"/>
        <v>4494545.6484578149</v>
      </c>
      <c r="DV100" s="13">
        <f t="shared" si="314"/>
        <v>0</v>
      </c>
      <c r="DW100" s="13">
        <f t="shared" si="315"/>
        <v>0</v>
      </c>
      <c r="DX100" s="13">
        <f t="shared" si="316"/>
        <v>0</v>
      </c>
      <c r="DY100" s="13">
        <f t="shared" si="317"/>
        <v>0</v>
      </c>
      <c r="DZ100" s="13">
        <f t="shared" si="318"/>
        <v>191553.75220346273</v>
      </c>
      <c r="EA100" s="13">
        <f t="shared" si="319"/>
        <v>308180.31661436276</v>
      </c>
      <c r="EB100" s="13">
        <f t="shared" si="320"/>
        <v>205324.9902625664</v>
      </c>
      <c r="EC100" s="13">
        <f t="shared" si="321"/>
        <v>132823.70561453429</v>
      </c>
      <c r="ED100" s="13">
        <f t="shared" si="322"/>
        <v>76862.731014900317</v>
      </c>
      <c r="EE100" s="13">
        <f t="shared" si="323"/>
        <v>43921.162350228384</v>
      </c>
      <c r="EF100" s="13">
        <f t="shared" si="324"/>
        <v>23907.17421347346</v>
      </c>
      <c r="EG100" s="13">
        <f t="shared" si="325"/>
        <v>29610.464368194796</v>
      </c>
      <c r="EH100" s="13">
        <f t="shared" si="326"/>
        <v>0</v>
      </c>
      <c r="EI100" s="13">
        <f t="shared" si="327"/>
        <v>52592.949238574416</v>
      </c>
      <c r="EJ100" s="13">
        <f t="shared" si="328"/>
        <v>107610.68359297708</v>
      </c>
      <c r="EK100" s="13">
        <f t="shared" si="329"/>
        <v>134836.36945373446</v>
      </c>
      <c r="EL100" s="21">
        <f t="shared" si="368"/>
        <v>1012184.2966417231</v>
      </c>
      <c r="EM100" s="21">
        <f t="shared" si="369"/>
        <v>295040.00228528597</v>
      </c>
      <c r="EN100" s="21">
        <f t="shared" si="330"/>
        <v>15182764449.625847</v>
      </c>
      <c r="EO100" s="21">
        <f t="shared" si="331"/>
        <v>6638400051.4189339</v>
      </c>
      <c r="EP100" s="21">
        <f t="shared" si="332"/>
        <v>12930228019.762589</v>
      </c>
      <c r="EQ100" s="21">
        <f t="shared" si="333"/>
        <v>4539324107.0021057</v>
      </c>
      <c r="ER100" s="21">
        <f t="shared" si="334"/>
        <v>101222706.73627938</v>
      </c>
      <c r="ES100" s="21">
        <f t="shared" si="335"/>
        <v>35535542.927914582</v>
      </c>
    </row>
    <row r="101" spans="1:149" x14ac:dyDescent="0.25">
      <c r="O101" s="3">
        <v>99</v>
      </c>
      <c r="P101" s="21">
        <f t="shared" si="380"/>
        <v>450507.28597265156</v>
      </c>
      <c r="Q101" s="21">
        <f t="shared" si="381"/>
        <v>419815.18888336571</v>
      </c>
      <c r="R101" s="13">
        <f t="shared" si="393"/>
        <v>692036.07592648687</v>
      </c>
      <c r="S101" s="13">
        <f t="shared" si="336"/>
        <v>512672.93441541831</v>
      </c>
      <c r="T101" s="13">
        <f t="shared" si="337"/>
        <v>399270.08278224291</v>
      </c>
      <c r="U101" s="13">
        <f t="shared" si="338"/>
        <v>326894.69555781398</v>
      </c>
      <c r="V101" s="13">
        <f t="shared" si="339"/>
        <v>267638.74027124676</v>
      </c>
      <c r="W101" s="13">
        <f t="shared" si="340"/>
        <v>167223.9137956278</v>
      </c>
      <c r="X101" s="13">
        <f t="shared" si="341"/>
        <v>79736.302573546884</v>
      </c>
      <c r="Y101" s="13">
        <f t="shared" si="342"/>
        <v>38020.147978778223</v>
      </c>
      <c r="Z101" s="13">
        <f t="shared" si="343"/>
        <v>18128.902465660107</v>
      </c>
      <c r="AA101" s="13">
        <f t="shared" si="344"/>
        <v>8644.2878863297556</v>
      </c>
      <c r="AB101" s="13">
        <f t="shared" si="345"/>
        <v>4121.8001587955814</v>
      </c>
      <c r="AC101" s="13">
        <f t="shared" si="346"/>
        <v>4588.3375766187237</v>
      </c>
      <c r="AD101" s="13">
        <f t="shared" si="347"/>
        <v>47617256.786134183</v>
      </c>
      <c r="AE101" s="13">
        <f t="shared" si="348"/>
        <v>32978657.533346754</v>
      </c>
      <c r="AF101" s="13">
        <f t="shared" si="349"/>
        <v>18515688.396479234</v>
      </c>
      <c r="AG101" s="13">
        <f t="shared" si="350"/>
        <v>15466792.688607719</v>
      </c>
      <c r="AH101" s="21">
        <f t="shared" si="250"/>
        <v>0</v>
      </c>
      <c r="AI101" s="21">
        <f t="shared" si="251"/>
        <v>1538.0188032462549</v>
      </c>
      <c r="AJ101" s="21">
        <f t="shared" si="252"/>
        <v>19753.361990279387</v>
      </c>
      <c r="AK101" s="21">
        <f t="shared" si="253"/>
        <v>89397.096743073736</v>
      </c>
      <c r="AL101" s="21">
        <f t="shared" si="254"/>
        <v>154751.5368747325</v>
      </c>
      <c r="AM101" s="21">
        <f t="shared" si="255"/>
        <v>135486.57520894179</v>
      </c>
      <c r="AN101" s="21">
        <f t="shared" si="256"/>
        <v>74691.932273894083</v>
      </c>
      <c r="AO101" s="21">
        <f t="shared" si="257"/>
        <v>37429.835154897191</v>
      </c>
      <c r="AP101" s="21">
        <f t="shared" si="258"/>
        <v>18030.624731241001</v>
      </c>
      <c r="AQ101" s="21">
        <f t="shared" si="259"/>
        <v>8618.3550226707666</v>
      </c>
      <c r="AR101" s="21">
        <f t="shared" si="260"/>
        <v>4121.8001587955814</v>
      </c>
      <c r="AS101" s="21">
        <f t="shared" si="261"/>
        <v>4588.3375766187237</v>
      </c>
      <c r="AT101" s="21">
        <f t="shared" si="262"/>
        <v>0</v>
      </c>
      <c r="AU101" s="21">
        <f t="shared" si="263"/>
        <v>16489328.766673377</v>
      </c>
      <c r="AV101" s="21">
        <f t="shared" si="264"/>
        <v>18515688.396479234</v>
      </c>
      <c r="AW101" s="21">
        <f t="shared" si="265"/>
        <v>15466792.688607719</v>
      </c>
      <c r="AX101" s="13">
        <f t="shared" si="351"/>
        <v>0.2</v>
      </c>
      <c r="AY101" s="13">
        <f t="shared" si="382"/>
        <v>0.6</v>
      </c>
      <c r="AZ101" s="13">
        <f t="shared" si="383"/>
        <v>1.2658</v>
      </c>
      <c r="BA101" s="13">
        <f t="shared" si="384"/>
        <v>2.1566490283456119</v>
      </c>
      <c r="BB101" s="13">
        <f t="shared" si="385"/>
        <v>3.3190880025392682</v>
      </c>
      <c r="BC101" s="13">
        <f t="shared" si="386"/>
        <v>4.8257420950729504</v>
      </c>
      <c r="BD101" s="13">
        <f t="shared" si="387"/>
        <v>6.7428471072245308</v>
      </c>
      <c r="BE101" s="13">
        <f t="shared" si="388"/>
        <v>9.1478573586366991</v>
      </c>
      <c r="BF101" s="13">
        <f t="shared" si="389"/>
        <v>11.102017140391304</v>
      </c>
      <c r="BG101" s="13">
        <f t="shared" si="390"/>
        <v>13.304611500870598</v>
      </c>
      <c r="BH101" s="13">
        <f t="shared" si="391"/>
        <v>15.187941275509139</v>
      </c>
      <c r="BI101" s="13">
        <f t="shared" si="392"/>
        <v>16.898472537195577</v>
      </c>
      <c r="BJ101" s="13">
        <f t="shared" si="266"/>
        <v>4.0000000000000001E-3</v>
      </c>
      <c r="BK101" s="13">
        <f t="shared" si="267"/>
        <v>0.01</v>
      </c>
      <c r="BL101" s="13">
        <f t="shared" si="268"/>
        <v>0.02</v>
      </c>
      <c r="BM101" s="13">
        <f t="shared" si="269"/>
        <v>0.03</v>
      </c>
      <c r="BN101" s="30">
        <f t="shared" si="352"/>
        <v>4693566.606965364</v>
      </c>
      <c r="BO101" s="30">
        <f t="shared" si="353"/>
        <v>1354573.1510658206</v>
      </c>
      <c r="BP101" s="30">
        <f t="shared" si="354"/>
        <v>2687198.815318387</v>
      </c>
      <c r="BQ101" s="30">
        <f t="shared" si="355"/>
        <v>999210.83625454991</v>
      </c>
      <c r="BR101" s="36">
        <f t="shared" si="270"/>
        <v>0.3</v>
      </c>
      <c r="BS101" s="36">
        <f t="shared" si="271"/>
        <v>0.25</v>
      </c>
      <c r="BT101" s="36">
        <f t="shared" si="272"/>
        <v>0.2</v>
      </c>
      <c r="BU101" s="36">
        <f t="shared" si="273"/>
        <v>0.2</v>
      </c>
      <c r="BV101" s="36">
        <f t="shared" si="274"/>
        <v>0.2</v>
      </c>
      <c r="BW101" s="36">
        <f t="shared" si="275"/>
        <v>0.2</v>
      </c>
      <c r="BX101" s="36">
        <f t="shared" si="276"/>
        <v>0.2</v>
      </c>
      <c r="BY101" s="36">
        <f t="shared" si="277"/>
        <v>0.2</v>
      </c>
      <c r="BZ101" s="36">
        <f t="shared" si="278"/>
        <v>0.2</v>
      </c>
      <c r="CA101" s="36">
        <f t="shared" si="279"/>
        <v>0.2</v>
      </c>
      <c r="CB101" s="36">
        <f t="shared" si="280"/>
        <v>0.2</v>
      </c>
      <c r="CC101" s="36">
        <f t="shared" si="281"/>
        <v>0.2</v>
      </c>
      <c r="CD101" s="35">
        <f t="shared" si="282"/>
        <v>0.3673346222350502</v>
      </c>
      <c r="CE101" s="35">
        <f t="shared" si="283"/>
        <v>0.3673346222350502</v>
      </c>
      <c r="CF101" s="35">
        <f t="shared" si="284"/>
        <v>0.3673346222350502</v>
      </c>
      <c r="CG101" s="35">
        <f t="shared" si="285"/>
        <v>0.3673346222350502</v>
      </c>
      <c r="CH101" s="28">
        <f t="shared" si="286"/>
        <v>0</v>
      </c>
      <c r="CI101" s="28">
        <f t="shared" si="287"/>
        <v>0</v>
      </c>
      <c r="CJ101" s="28">
        <f t="shared" si="288"/>
        <v>15770.61405200156</v>
      </c>
      <c r="CK101" s="28">
        <f t="shared" si="289"/>
        <v>23888.72452830043</v>
      </c>
      <c r="CL101" s="28">
        <f t="shared" si="290"/>
        <v>32524.842135745777</v>
      </c>
      <c r="CM101" s="28">
        <f t="shared" si="291"/>
        <v>31774.25413464645</v>
      </c>
      <c r="CN101" s="28">
        <f t="shared" si="292"/>
        <v>22669.837945200114</v>
      </c>
      <c r="CO101" s="28">
        <f t="shared" si="293"/>
        <v>15649.069200287478</v>
      </c>
      <c r="CP101" s="28">
        <f t="shared" si="294"/>
        <v>9597.6668244743487</v>
      </c>
      <c r="CQ101" s="28">
        <f t="shared" si="295"/>
        <v>5787.468663755375</v>
      </c>
      <c r="CR101" s="28">
        <f t="shared" si="296"/>
        <v>3303.6965684751176</v>
      </c>
      <c r="CS101" s="28">
        <f t="shared" si="297"/>
        <v>4270.9585677984078</v>
      </c>
      <c r="CT101" s="44">
        <f t="shared" si="356"/>
        <v>0</v>
      </c>
      <c r="CU101" s="44">
        <f t="shared" si="357"/>
        <v>0</v>
      </c>
      <c r="CV101" s="44">
        <f t="shared" si="358"/>
        <v>3.9498611922302883E-2</v>
      </c>
      <c r="CW101" s="44">
        <f t="shared" si="359"/>
        <v>7.3077736815327171E-2</v>
      </c>
      <c r="CX101" s="44">
        <f t="shared" si="360"/>
        <v>0.12152516523871869</v>
      </c>
      <c r="CY101" s="44">
        <f t="shared" si="361"/>
        <v>0.19001022888077634</v>
      </c>
      <c r="CZ101" s="44">
        <f t="shared" si="362"/>
        <v>0.28431012240992726</v>
      </c>
      <c r="DA101" s="44">
        <f t="shared" si="363"/>
        <v>0.41159937644173161</v>
      </c>
      <c r="DB101" s="44">
        <f t="shared" si="364"/>
        <v>0.52941245851227425</v>
      </c>
      <c r="DC101" s="44">
        <f t="shared" si="365"/>
        <v>0.66951364182442263</v>
      </c>
      <c r="DD101" s="44">
        <f t="shared" si="366"/>
        <v>0.8015178905326843</v>
      </c>
      <c r="DE101" s="44">
        <f t="shared" si="367"/>
        <v>0.93082919390290342</v>
      </c>
      <c r="DF101" s="21">
        <f t="shared" si="298"/>
        <v>0</v>
      </c>
      <c r="DG101" s="21">
        <f t="shared" si="299"/>
        <v>0</v>
      </c>
      <c r="DH101" s="21">
        <f t="shared" si="300"/>
        <v>0</v>
      </c>
      <c r="DI101" s="21">
        <f t="shared" si="301"/>
        <v>0</v>
      </c>
      <c r="DJ101" s="21">
        <f t="shared" si="302"/>
        <v>57712.766897688271</v>
      </c>
      <c r="DK101" s="21">
        <f t="shared" si="303"/>
        <v>63861.746140352698</v>
      </c>
      <c r="DL101" s="21">
        <f t="shared" si="304"/>
        <v>30450.785402292979</v>
      </c>
      <c r="DM101" s="21">
        <f t="shared" si="305"/>
        <v>14519.652024212228</v>
      </c>
      <c r="DN101" s="21">
        <f t="shared" si="306"/>
        <v>6923.3122272220726</v>
      </c>
      <c r="DO101" s="21">
        <f t="shared" si="307"/>
        <v>3301.1984113443846</v>
      </c>
      <c r="DP101" s="21">
        <f t="shared" si="308"/>
        <v>1574.0891921951363</v>
      </c>
      <c r="DQ101" s="21">
        <f t="shared" si="309"/>
        <v>1752.2568565305714</v>
      </c>
      <c r="DR101" s="21">
        <f t="shared" si="310"/>
        <v>0</v>
      </c>
      <c r="DS101" s="21">
        <f t="shared" si="311"/>
        <v>5259294.923857444</v>
      </c>
      <c r="DT101" s="21">
        <f t="shared" si="312"/>
        <v>5380534.1796488594</v>
      </c>
      <c r="DU101" s="21">
        <f t="shared" si="313"/>
        <v>4494545.6484578317</v>
      </c>
      <c r="DV101" s="13">
        <f t="shared" si="314"/>
        <v>0</v>
      </c>
      <c r="DW101" s="13">
        <f t="shared" si="315"/>
        <v>0</v>
      </c>
      <c r="DX101" s="13">
        <f t="shared" si="316"/>
        <v>0</v>
      </c>
      <c r="DY101" s="13">
        <f t="shared" si="317"/>
        <v>0</v>
      </c>
      <c r="DZ101" s="13">
        <f t="shared" si="318"/>
        <v>191553.75220346256</v>
      </c>
      <c r="EA101" s="13">
        <f t="shared" si="319"/>
        <v>308180.31661436253</v>
      </c>
      <c r="EB101" s="13">
        <f t="shared" si="320"/>
        <v>205324.99026256619</v>
      </c>
      <c r="EC101" s="13">
        <f t="shared" si="321"/>
        <v>132823.70561453406</v>
      </c>
      <c r="ED101" s="13">
        <f t="shared" si="322"/>
        <v>76862.731014900142</v>
      </c>
      <c r="EE101" s="13">
        <f t="shared" si="323"/>
        <v>43921.162350228245</v>
      </c>
      <c r="EF101" s="13">
        <f t="shared" si="324"/>
        <v>23907.17421347335</v>
      </c>
      <c r="EG101" s="13">
        <f t="shared" si="325"/>
        <v>29610.464368194513</v>
      </c>
      <c r="EH101" s="13">
        <f t="shared" si="326"/>
        <v>0</v>
      </c>
      <c r="EI101" s="13">
        <f t="shared" si="327"/>
        <v>52592.949238574438</v>
      </c>
      <c r="EJ101" s="13">
        <f t="shared" si="328"/>
        <v>107610.68359297719</v>
      </c>
      <c r="EK101" s="13">
        <f t="shared" si="329"/>
        <v>134836.36945373495</v>
      </c>
      <c r="EL101" s="21">
        <f t="shared" si="368"/>
        <v>1012184.2966417215</v>
      </c>
      <c r="EM101" s="21">
        <f t="shared" si="369"/>
        <v>295040.00228528655</v>
      </c>
      <c r="EN101" s="21">
        <f t="shared" si="330"/>
        <v>15182764449.625822</v>
      </c>
      <c r="EO101" s="21">
        <f t="shared" si="331"/>
        <v>6638400051.4189472</v>
      </c>
      <c r="EP101" s="21">
        <f t="shared" si="332"/>
        <v>12930228019.762564</v>
      </c>
      <c r="EQ101" s="21">
        <f t="shared" si="333"/>
        <v>4539324107.0021191</v>
      </c>
      <c r="ER101" s="21">
        <f t="shared" si="334"/>
        <v>96286017.075155437</v>
      </c>
      <c r="ES101" s="21">
        <f t="shared" si="335"/>
        <v>33802454.048640721</v>
      </c>
    </row>
    <row r="102" spans="1:149" x14ac:dyDescent="0.25">
      <c r="O102" s="3">
        <v>100</v>
      </c>
      <c r="P102" s="21">
        <f t="shared" si="380"/>
        <v>450507.28597265156</v>
      </c>
      <c r="Q102" s="21">
        <f t="shared" si="381"/>
        <v>419815.18888336571</v>
      </c>
      <c r="R102" s="13">
        <f t="shared" ref="R102" si="394">$B$26*BP99/($B$27+BP99)</f>
        <v>692036.07592648675</v>
      </c>
      <c r="S102" s="13">
        <f t="shared" si="336"/>
        <v>512672.93441541819</v>
      </c>
      <c r="T102" s="13">
        <f t="shared" si="337"/>
        <v>399270.0827822428</v>
      </c>
      <c r="U102" s="13">
        <f t="shared" si="338"/>
        <v>326894.69555781386</v>
      </c>
      <c r="V102" s="13">
        <f t="shared" si="339"/>
        <v>267638.74027124664</v>
      </c>
      <c r="W102" s="13">
        <f t="shared" si="340"/>
        <v>167223.91379562765</v>
      </c>
      <c r="X102" s="13">
        <f t="shared" si="341"/>
        <v>79736.302573546811</v>
      </c>
      <c r="Y102" s="13">
        <f t="shared" si="342"/>
        <v>38020.147978778172</v>
      </c>
      <c r="Z102" s="13">
        <f t="shared" si="343"/>
        <v>18128.902465660074</v>
      </c>
      <c r="AA102" s="13">
        <f t="shared" si="344"/>
        <v>8644.2878863297356</v>
      </c>
      <c r="AB102" s="13">
        <f t="shared" si="345"/>
        <v>4121.8001587955669</v>
      </c>
      <c r="AC102" s="13">
        <f t="shared" si="346"/>
        <v>4588.3375766186891</v>
      </c>
      <c r="AD102" s="13">
        <f t="shared" si="347"/>
        <v>47617256.786134191</v>
      </c>
      <c r="AE102" s="13">
        <f t="shared" si="348"/>
        <v>32978657.533346768</v>
      </c>
      <c r="AF102" s="13">
        <f t="shared" si="349"/>
        <v>18515688.396479245</v>
      </c>
      <c r="AG102" s="13">
        <f t="shared" si="350"/>
        <v>15466792.688607749</v>
      </c>
      <c r="AH102" s="21">
        <f t="shared" si="250"/>
        <v>0</v>
      </c>
      <c r="AI102" s="21">
        <f t="shared" si="251"/>
        <v>1538.0188032462545</v>
      </c>
      <c r="AJ102" s="21">
        <f t="shared" si="252"/>
        <v>19753.361990279383</v>
      </c>
      <c r="AK102" s="21">
        <f t="shared" si="253"/>
        <v>89397.096743073707</v>
      </c>
      <c r="AL102" s="21">
        <f t="shared" si="254"/>
        <v>154751.53687473244</v>
      </c>
      <c r="AM102" s="21">
        <f t="shared" si="255"/>
        <v>135486.57520894168</v>
      </c>
      <c r="AN102" s="21">
        <f t="shared" si="256"/>
        <v>74691.93227389401</v>
      </c>
      <c r="AO102" s="21">
        <f t="shared" si="257"/>
        <v>37429.83515489714</v>
      </c>
      <c r="AP102" s="21">
        <f t="shared" si="258"/>
        <v>18030.624731240969</v>
      </c>
      <c r="AQ102" s="21">
        <f t="shared" si="259"/>
        <v>8618.3550226707466</v>
      </c>
      <c r="AR102" s="21">
        <f t="shared" si="260"/>
        <v>4121.8001587955669</v>
      </c>
      <c r="AS102" s="21">
        <f t="shared" si="261"/>
        <v>4588.3375766186891</v>
      </c>
      <c r="AT102" s="21">
        <f t="shared" si="262"/>
        <v>0</v>
      </c>
      <c r="AU102" s="21">
        <f t="shared" si="263"/>
        <v>16489328.766673384</v>
      </c>
      <c r="AV102" s="21">
        <f t="shared" si="264"/>
        <v>18515688.396479245</v>
      </c>
      <c r="AW102" s="21">
        <f t="shared" si="265"/>
        <v>15466792.688607749</v>
      </c>
      <c r="AX102" s="13">
        <f t="shared" si="351"/>
        <v>0.2</v>
      </c>
      <c r="AY102" s="13">
        <f t="shared" si="382"/>
        <v>0.6</v>
      </c>
      <c r="AZ102" s="13">
        <f t="shared" si="383"/>
        <v>1.2658</v>
      </c>
      <c r="BA102" s="13">
        <f t="shared" si="384"/>
        <v>2.1566490283456119</v>
      </c>
      <c r="BB102" s="13">
        <f t="shared" si="385"/>
        <v>3.3190880025392682</v>
      </c>
      <c r="BC102" s="13">
        <f t="shared" si="386"/>
        <v>4.8257420950729504</v>
      </c>
      <c r="BD102" s="13">
        <f t="shared" si="387"/>
        <v>6.7428471072245308</v>
      </c>
      <c r="BE102" s="13">
        <f t="shared" si="388"/>
        <v>9.1478573586366991</v>
      </c>
      <c r="BF102" s="13">
        <f t="shared" si="389"/>
        <v>11.102017140391306</v>
      </c>
      <c r="BG102" s="13">
        <f t="shared" si="390"/>
        <v>13.3046115008706</v>
      </c>
      <c r="BH102" s="13">
        <f t="shared" si="391"/>
        <v>15.187941275509145</v>
      </c>
      <c r="BI102" s="13">
        <f t="shared" si="392"/>
        <v>16.89847253719558</v>
      </c>
      <c r="BJ102" s="13">
        <f t="shared" si="266"/>
        <v>4.0000000000000001E-3</v>
      </c>
      <c r="BK102" s="13">
        <f t="shared" si="267"/>
        <v>0.01</v>
      </c>
      <c r="BL102" s="13">
        <f t="shared" si="268"/>
        <v>0.02</v>
      </c>
      <c r="BM102" s="13">
        <f t="shared" si="269"/>
        <v>0.03</v>
      </c>
      <c r="BN102" s="30">
        <f t="shared" si="352"/>
        <v>4693566.6069653602</v>
      </c>
      <c r="BO102" s="30">
        <f t="shared" si="353"/>
        <v>1354573.1510658218</v>
      </c>
      <c r="BP102" s="30">
        <f t="shared" si="354"/>
        <v>2687198.8153183837</v>
      </c>
      <c r="BQ102" s="30">
        <f t="shared" si="355"/>
        <v>999210.83625455131</v>
      </c>
      <c r="BR102" s="36">
        <f t="shared" si="270"/>
        <v>0.3</v>
      </c>
      <c r="BS102" s="36">
        <f t="shared" si="271"/>
        <v>0.25</v>
      </c>
      <c r="BT102" s="36">
        <f t="shared" si="272"/>
        <v>0.2</v>
      </c>
      <c r="BU102" s="36">
        <f t="shared" si="273"/>
        <v>0.2</v>
      </c>
      <c r="BV102" s="36">
        <f t="shared" si="274"/>
        <v>0.2</v>
      </c>
      <c r="BW102" s="36">
        <f t="shared" si="275"/>
        <v>0.2</v>
      </c>
      <c r="BX102" s="36">
        <f t="shared" si="276"/>
        <v>0.2</v>
      </c>
      <c r="BY102" s="36">
        <f t="shared" si="277"/>
        <v>0.2</v>
      </c>
      <c r="BZ102" s="36">
        <f t="shared" si="278"/>
        <v>0.2</v>
      </c>
      <c r="CA102" s="36">
        <f t="shared" si="279"/>
        <v>0.2</v>
      </c>
      <c r="CB102" s="36">
        <f t="shared" si="280"/>
        <v>0.2</v>
      </c>
      <c r="CC102" s="36">
        <f t="shared" si="281"/>
        <v>0.2</v>
      </c>
      <c r="CD102" s="35">
        <f t="shared" si="282"/>
        <v>0.36733462223505003</v>
      </c>
      <c r="CE102" s="35">
        <f t="shared" si="283"/>
        <v>0.36733462223505003</v>
      </c>
      <c r="CF102" s="35">
        <f t="shared" si="284"/>
        <v>0.36733462223505003</v>
      </c>
      <c r="CG102" s="35">
        <f t="shared" si="285"/>
        <v>0.36733462223505003</v>
      </c>
      <c r="CH102" s="28">
        <f t="shared" si="286"/>
        <v>0</v>
      </c>
      <c r="CI102" s="28">
        <f t="shared" si="287"/>
        <v>0</v>
      </c>
      <c r="CJ102" s="28">
        <f t="shared" si="288"/>
        <v>15770.614052001569</v>
      </c>
      <c r="CK102" s="28">
        <f t="shared" si="289"/>
        <v>23888.724528300441</v>
      </c>
      <c r="CL102" s="28">
        <f t="shared" si="290"/>
        <v>32524.842135745792</v>
      </c>
      <c r="CM102" s="28">
        <f t="shared" si="291"/>
        <v>31774.254134646457</v>
      </c>
      <c r="CN102" s="28">
        <f t="shared" si="292"/>
        <v>22669.837945200117</v>
      </c>
      <c r="CO102" s="28">
        <f t="shared" si="293"/>
        <v>15649.069200287471</v>
      </c>
      <c r="CP102" s="28">
        <f t="shared" si="294"/>
        <v>9597.6668244743432</v>
      </c>
      <c r="CQ102" s="28">
        <f t="shared" si="295"/>
        <v>5787.4686637553677</v>
      </c>
      <c r="CR102" s="28">
        <f t="shared" si="296"/>
        <v>3303.6965684751094</v>
      </c>
      <c r="CS102" s="28">
        <f t="shared" si="297"/>
        <v>4270.9585677983787</v>
      </c>
      <c r="CT102" s="44">
        <f t="shared" si="356"/>
        <v>0</v>
      </c>
      <c r="CU102" s="44">
        <f t="shared" si="357"/>
        <v>0</v>
      </c>
      <c r="CV102" s="44">
        <f t="shared" si="358"/>
        <v>3.9498611922302918E-2</v>
      </c>
      <c r="CW102" s="44">
        <f t="shared" si="359"/>
        <v>7.3077736815327227E-2</v>
      </c>
      <c r="CX102" s="44">
        <f t="shared" si="360"/>
        <v>0.1215251652387188</v>
      </c>
      <c r="CY102" s="44">
        <f t="shared" si="361"/>
        <v>0.19001022888077654</v>
      </c>
      <c r="CZ102" s="44">
        <f t="shared" si="362"/>
        <v>0.28431012240992759</v>
      </c>
      <c r="DA102" s="44">
        <f t="shared" si="363"/>
        <v>0.41159937644173195</v>
      </c>
      <c r="DB102" s="44">
        <f t="shared" si="364"/>
        <v>0.52941245851227492</v>
      </c>
      <c r="DC102" s="44">
        <f t="shared" si="365"/>
        <v>0.6695136418244233</v>
      </c>
      <c r="DD102" s="44">
        <f t="shared" si="366"/>
        <v>0.80151789053268518</v>
      </c>
      <c r="DE102" s="44">
        <f t="shared" si="367"/>
        <v>0.93082919390290408</v>
      </c>
      <c r="DF102" s="21">
        <f t="shared" si="298"/>
        <v>0</v>
      </c>
      <c r="DG102" s="21">
        <f t="shared" si="299"/>
        <v>0</v>
      </c>
      <c r="DH102" s="21">
        <f t="shared" si="300"/>
        <v>0</v>
      </c>
      <c r="DI102" s="21">
        <f t="shared" si="301"/>
        <v>0</v>
      </c>
      <c r="DJ102" s="21">
        <f t="shared" si="302"/>
        <v>57712.766897688249</v>
      </c>
      <c r="DK102" s="21">
        <f t="shared" si="303"/>
        <v>63861.746140352639</v>
      </c>
      <c r="DL102" s="21">
        <f t="shared" si="304"/>
        <v>30450.78540229295</v>
      </c>
      <c r="DM102" s="21">
        <f t="shared" si="305"/>
        <v>14519.65202421221</v>
      </c>
      <c r="DN102" s="21">
        <f t="shared" si="306"/>
        <v>6923.3122272220598</v>
      </c>
      <c r="DO102" s="21">
        <f t="shared" si="307"/>
        <v>3301.1984113443768</v>
      </c>
      <c r="DP102" s="21">
        <f t="shared" si="308"/>
        <v>1574.0891921951306</v>
      </c>
      <c r="DQ102" s="21">
        <f t="shared" si="309"/>
        <v>1752.2568565305583</v>
      </c>
      <c r="DR102" s="21">
        <f t="shared" si="310"/>
        <v>0</v>
      </c>
      <c r="DS102" s="21">
        <f t="shared" si="311"/>
        <v>5259294.9238574458</v>
      </c>
      <c r="DT102" s="21">
        <f t="shared" si="312"/>
        <v>5380534.1796488622</v>
      </c>
      <c r="DU102" s="21">
        <f t="shared" si="313"/>
        <v>4494545.6484578401</v>
      </c>
      <c r="DV102" s="13">
        <f t="shared" si="314"/>
        <v>0</v>
      </c>
      <c r="DW102" s="13">
        <f t="shared" si="315"/>
        <v>0</v>
      </c>
      <c r="DX102" s="13">
        <f t="shared" si="316"/>
        <v>0</v>
      </c>
      <c r="DY102" s="13">
        <f t="shared" si="317"/>
        <v>0</v>
      </c>
      <c r="DZ102" s="13">
        <f t="shared" si="318"/>
        <v>191553.7522034625</v>
      </c>
      <c r="EA102" s="13">
        <f t="shared" si="319"/>
        <v>308180.31661436224</v>
      </c>
      <c r="EB102" s="13">
        <f t="shared" si="320"/>
        <v>205324.99026256599</v>
      </c>
      <c r="EC102" s="13">
        <f t="shared" si="321"/>
        <v>132823.70561453392</v>
      </c>
      <c r="ED102" s="13">
        <f t="shared" si="322"/>
        <v>76862.731014900011</v>
      </c>
      <c r="EE102" s="13">
        <f t="shared" si="323"/>
        <v>43921.162350228151</v>
      </c>
      <c r="EF102" s="13">
        <f t="shared" si="324"/>
        <v>23907.17421347327</v>
      </c>
      <c r="EG102" s="13">
        <f t="shared" si="325"/>
        <v>29610.464368194294</v>
      </c>
      <c r="EH102" s="13">
        <f t="shared" si="326"/>
        <v>0</v>
      </c>
      <c r="EI102" s="13">
        <f t="shared" si="327"/>
        <v>52592.94923857446</v>
      </c>
      <c r="EJ102" s="13">
        <f t="shared" si="328"/>
        <v>107610.68359297725</v>
      </c>
      <c r="EK102" s="13">
        <f t="shared" si="329"/>
        <v>134836.36945373518</v>
      </c>
      <c r="EL102" s="21">
        <f t="shared" si="368"/>
        <v>1012184.2966417205</v>
      </c>
      <c r="EM102" s="21">
        <f>SUM(EH102:EK102)</f>
        <v>295040.0022852869</v>
      </c>
      <c r="EN102" s="21">
        <f t="shared" si="330"/>
        <v>15182764449.625807</v>
      </c>
      <c r="EO102" s="21">
        <f t="shared" si="331"/>
        <v>6638400051.4189548</v>
      </c>
      <c r="EP102" s="21">
        <f t="shared" si="332"/>
        <v>12930228019.762548</v>
      </c>
      <c r="EQ102" s="21">
        <f t="shared" si="333"/>
        <v>6638400051.4189548</v>
      </c>
      <c r="ER102" s="21">
        <f t="shared" si="334"/>
        <v>91590092.609865934</v>
      </c>
      <c r="ES102" s="21">
        <f t="shared" si="335"/>
        <v>47022502.198841065</v>
      </c>
    </row>
    <row r="103" spans="1:149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1:149" x14ac:dyDescent="0.25">
      <c r="B104">
        <v>3</v>
      </c>
      <c r="C104">
        <v>4</v>
      </c>
      <c r="D104">
        <v>5</v>
      </c>
      <c r="E104">
        <v>6</v>
      </c>
      <c r="F104">
        <v>7</v>
      </c>
      <c r="G104">
        <v>8</v>
      </c>
      <c r="H104">
        <v>9</v>
      </c>
      <c r="I104">
        <v>10</v>
      </c>
      <c r="J104">
        <v>11</v>
      </c>
      <c r="K104">
        <v>12</v>
      </c>
      <c r="L104">
        <v>13</v>
      </c>
      <c r="M104">
        <v>14</v>
      </c>
      <c r="N104" s="1"/>
      <c r="O104" s="1"/>
      <c r="P104" s="1"/>
      <c r="Q104" s="1"/>
    </row>
    <row r="105" spans="1:149" x14ac:dyDescent="0.25">
      <c r="A105" t="s">
        <v>10</v>
      </c>
      <c r="B105">
        <v>0.2</v>
      </c>
      <c r="C105">
        <v>0.6</v>
      </c>
      <c r="D105">
        <v>1.2658</v>
      </c>
      <c r="E105">
        <v>2.129</v>
      </c>
      <c r="F105">
        <v>3.2454000000000001</v>
      </c>
      <c r="G105">
        <v>4.6840000000000002</v>
      </c>
      <c r="H105">
        <v>6.508</v>
      </c>
      <c r="I105">
        <v>8.7935999999999996</v>
      </c>
      <c r="J105">
        <v>10.6037</v>
      </c>
      <c r="K105">
        <v>12.621</v>
      </c>
      <c r="L105">
        <v>14.27</v>
      </c>
      <c r="M105">
        <v>15.7</v>
      </c>
      <c r="N105" s="1"/>
      <c r="O105" s="1"/>
      <c r="P105" s="1"/>
      <c r="Q105" s="1"/>
    </row>
    <row r="106" spans="1:149" x14ac:dyDescent="0.25">
      <c r="A106" t="s">
        <v>107</v>
      </c>
      <c r="B106">
        <f>B35</f>
        <v>0.2</v>
      </c>
      <c r="C106">
        <f>B106+C35</f>
        <v>0.6</v>
      </c>
      <c r="D106">
        <f t="shared" ref="D106:M106" si="395">C106+D35</f>
        <v>1.2658</v>
      </c>
      <c r="E106">
        <f t="shared" si="395"/>
        <v>2.129</v>
      </c>
      <c r="F106">
        <f t="shared" si="395"/>
        <v>3.2454000000000001</v>
      </c>
      <c r="G106">
        <f t="shared" si="395"/>
        <v>4.6840000000000002</v>
      </c>
      <c r="H106">
        <f t="shared" si="395"/>
        <v>6.508</v>
      </c>
      <c r="I106">
        <f t="shared" si="395"/>
        <v>8.7935999999999996</v>
      </c>
      <c r="J106">
        <f t="shared" si="395"/>
        <v>10.6037</v>
      </c>
      <c r="K106">
        <f t="shared" si="395"/>
        <v>12.621</v>
      </c>
      <c r="L106">
        <f t="shared" si="395"/>
        <v>14.27</v>
      </c>
      <c r="M106">
        <f t="shared" si="395"/>
        <v>15.7</v>
      </c>
      <c r="N106" s="1"/>
      <c r="O106" s="1"/>
      <c r="P106" s="1"/>
      <c r="Q106" s="1"/>
    </row>
    <row r="107" spans="1:149" x14ac:dyDescent="0.25">
      <c r="A107" t="s">
        <v>108</v>
      </c>
      <c r="B107">
        <f>B37</f>
        <v>0.2</v>
      </c>
      <c r="C107">
        <f t="shared" ref="C107:M107" si="396">C37</f>
        <v>0.6</v>
      </c>
      <c r="D107">
        <f t="shared" si="396"/>
        <v>1.2658</v>
      </c>
      <c r="E107">
        <f t="shared" si="396"/>
        <v>2.1566490283455741</v>
      </c>
      <c r="F107">
        <f t="shared" si="396"/>
        <v>3.3190880025391527</v>
      </c>
      <c r="G107">
        <f t="shared" si="396"/>
        <v>4.8257420950726964</v>
      </c>
      <c r="H107">
        <f t="shared" si="396"/>
        <v>6.7428471072240512</v>
      </c>
      <c r="I107">
        <f t="shared" si="396"/>
        <v>9.1478573586358713</v>
      </c>
      <c r="J107">
        <f t="shared" si="396"/>
        <v>11.102017140389957</v>
      </c>
      <c r="K107">
        <f t="shared" si="396"/>
        <v>13.304611500868473</v>
      </c>
      <c r="L107">
        <f t="shared" si="396"/>
        <v>15.187941275505876</v>
      </c>
      <c r="M107">
        <f t="shared" si="396"/>
        <v>16.89847253719066</v>
      </c>
      <c r="N107" s="1"/>
      <c r="O107" s="1"/>
      <c r="P107" s="1"/>
      <c r="Q107" s="1"/>
    </row>
    <row r="108" spans="1:149" x14ac:dyDescent="0.25">
      <c r="A108" t="s">
        <v>109</v>
      </c>
      <c r="B108">
        <f>B107/B105</f>
        <v>1</v>
      </c>
      <c r="C108">
        <f t="shared" ref="C108:M108" si="397">C107/C105</f>
        <v>1</v>
      </c>
      <c r="D108">
        <f t="shared" si="397"/>
        <v>1</v>
      </c>
      <c r="E108">
        <f t="shared" si="397"/>
        <v>1.012986861599612</v>
      </c>
      <c r="F108">
        <f t="shared" si="397"/>
        <v>1.0227053683795997</v>
      </c>
      <c r="G108">
        <f t="shared" si="397"/>
        <v>1.0302609084271341</v>
      </c>
      <c r="H108">
        <f t="shared" si="397"/>
        <v>1.0360859107596883</v>
      </c>
      <c r="I108">
        <f t="shared" si="397"/>
        <v>1.0402858168026601</v>
      </c>
      <c r="J108">
        <f t="shared" si="397"/>
        <v>1.0469946471882416</v>
      </c>
      <c r="K108">
        <f t="shared" si="397"/>
        <v>1.054164606676846</v>
      </c>
      <c r="L108">
        <f t="shared" si="397"/>
        <v>1.0643266485988701</v>
      </c>
      <c r="M108">
        <f t="shared" si="397"/>
        <v>1.0763358303943096</v>
      </c>
      <c r="N108" s="1"/>
      <c r="O108" s="1"/>
      <c r="P108" s="1"/>
      <c r="Q108" s="1"/>
    </row>
    <row r="109" spans="1:149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1:149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spans="1:149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spans="1:149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spans="6:17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6:17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spans="6:17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6:17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6:17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6:17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spans="6:17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6:17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6:17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6:17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spans="6:17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6:17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spans="6:17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6:17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spans="6:17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spans="6:17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spans="6:17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spans="6:17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spans="6:17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6:17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6:17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6:17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C_NM">
                <anchor moveWithCells="1" sizeWithCells="1">
                  <from>
                    <xdr:col>6</xdr:col>
                    <xdr:colOff>600075</xdr:colOff>
                    <xdr:row>19</xdr:row>
                    <xdr:rowOff>85725</xdr:rowOff>
                  </from>
                  <to>
                    <xdr:col>8</xdr:col>
                    <xdr:colOff>323850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F9F91-EF6E-4512-B1DB-D7085D292AA3}">
  <sheetPr codeName="Sheet2"/>
  <dimension ref="A1:AF58"/>
  <sheetViews>
    <sheetView topLeftCell="A27" zoomScale="70" zoomScaleNormal="70" workbookViewId="0">
      <selection activeCell="M53" sqref="M53:U53"/>
    </sheetView>
  </sheetViews>
  <sheetFormatPr defaultColWidth="9.140625" defaultRowHeight="15" x14ac:dyDescent="0.25"/>
  <cols>
    <col min="1" max="1" width="9.28515625" bestFit="1" customWidth="1"/>
    <col min="2" max="2" width="19.5703125" bestFit="1" customWidth="1"/>
    <col min="3" max="5" width="13.5703125" bestFit="1" customWidth="1"/>
    <col min="6" max="6" width="14" bestFit="1" customWidth="1"/>
    <col min="7" max="10" width="13.5703125" bestFit="1" customWidth="1"/>
    <col min="12" max="12" width="9.28515625" bestFit="1" customWidth="1"/>
    <col min="13" max="13" width="19.5703125" bestFit="1" customWidth="1"/>
    <col min="14" max="21" width="13.5703125" bestFit="1" customWidth="1"/>
    <col min="23" max="23" width="9.28515625" bestFit="1" customWidth="1"/>
    <col min="24" max="24" width="33.42578125" customWidth="1"/>
    <col min="25" max="28" width="14" bestFit="1" customWidth="1"/>
    <col min="29" max="29" width="34" customWidth="1"/>
    <col min="30" max="32" width="14" bestFit="1" customWidth="1"/>
  </cols>
  <sheetData>
    <row r="1" spans="1:32" x14ac:dyDescent="0.25">
      <c r="A1" s="45" t="s">
        <v>77</v>
      </c>
      <c r="B1" s="46">
        <f>Model!B4</f>
        <v>386375335956.39026</v>
      </c>
      <c r="C1" s="45"/>
      <c r="D1" s="45"/>
      <c r="E1" s="45"/>
      <c r="F1" s="45"/>
      <c r="G1" s="45"/>
      <c r="H1" s="45"/>
      <c r="I1" s="45"/>
      <c r="J1" s="45"/>
      <c r="L1" s="45" t="s">
        <v>77</v>
      </c>
      <c r="M1" s="46">
        <f>Model!B2</f>
        <v>291719837295.42194</v>
      </c>
      <c r="N1" s="45"/>
      <c r="O1" s="45"/>
      <c r="P1" s="45"/>
      <c r="Q1" s="45"/>
      <c r="R1" s="45"/>
      <c r="S1" s="45"/>
      <c r="T1" s="45"/>
      <c r="U1" s="45"/>
      <c r="W1" s="45" t="s">
        <v>77</v>
      </c>
      <c r="X1" s="46">
        <f>Model!B3</f>
        <v>94655498660.968292</v>
      </c>
      <c r="Y1" s="45"/>
      <c r="Z1" s="45"/>
      <c r="AA1" s="45"/>
      <c r="AB1" s="45"/>
      <c r="AC1" s="45"/>
      <c r="AD1" s="45"/>
      <c r="AE1" s="45"/>
      <c r="AF1" s="45"/>
    </row>
    <row r="2" spans="1:32" x14ac:dyDescent="0.25">
      <c r="A2" s="47" t="s">
        <v>89</v>
      </c>
      <c r="B2" s="47">
        <v>0</v>
      </c>
      <c r="C2" s="47">
        <v>0.5</v>
      </c>
      <c r="D2" s="47">
        <v>1</v>
      </c>
      <c r="E2" s="47">
        <v>1.5</v>
      </c>
      <c r="F2" s="47">
        <v>2</v>
      </c>
      <c r="G2" s="47">
        <v>2.5</v>
      </c>
      <c r="H2" s="47">
        <v>3</v>
      </c>
      <c r="I2" s="47">
        <v>3.5</v>
      </c>
      <c r="J2" s="47">
        <v>4</v>
      </c>
      <c r="L2" s="47" t="s">
        <v>90</v>
      </c>
      <c r="M2" s="47">
        <v>0</v>
      </c>
      <c r="N2" s="47">
        <v>0.5</v>
      </c>
      <c r="O2" s="47">
        <v>1</v>
      </c>
      <c r="P2" s="47">
        <v>1.5</v>
      </c>
      <c r="Q2" s="47">
        <v>2</v>
      </c>
      <c r="R2" s="47">
        <v>2.5</v>
      </c>
      <c r="S2" s="47">
        <v>3</v>
      </c>
      <c r="T2" s="47">
        <v>3.5</v>
      </c>
      <c r="U2" s="47">
        <v>4</v>
      </c>
      <c r="W2" s="47" t="s">
        <v>91</v>
      </c>
      <c r="X2" s="47">
        <v>0</v>
      </c>
      <c r="Y2" s="47">
        <v>0.5</v>
      </c>
      <c r="Z2" s="47">
        <v>1</v>
      </c>
      <c r="AA2" s="47">
        <v>1.5</v>
      </c>
      <c r="AB2" s="47">
        <v>2</v>
      </c>
      <c r="AC2" s="47">
        <v>2.5</v>
      </c>
      <c r="AD2" s="47">
        <v>3</v>
      </c>
      <c r="AE2" s="47">
        <v>3.5</v>
      </c>
      <c r="AF2" s="47">
        <v>4</v>
      </c>
    </row>
    <row r="3" spans="1:32" x14ac:dyDescent="0.25">
      <c r="A3" s="48" t="s">
        <v>92</v>
      </c>
      <c r="B3" s="49">
        <v>482943878441.32129</v>
      </c>
      <c r="C3" s="49">
        <v>465296143928.9032</v>
      </c>
      <c r="D3" s="49">
        <v>450070668227.7937</v>
      </c>
      <c r="E3" s="49">
        <v>436639065682.19238</v>
      </c>
      <c r="F3" s="49">
        <v>424614220383.89551</v>
      </c>
      <c r="G3" s="49">
        <v>413736965151.48334</v>
      </c>
      <c r="H3" s="49">
        <v>403823462849.71753</v>
      </c>
      <c r="I3" s="49">
        <v>394737621702.56226</v>
      </c>
      <c r="J3" s="49">
        <v>386375335956.39026</v>
      </c>
      <c r="L3" s="48" t="s">
        <v>92</v>
      </c>
      <c r="M3" s="49">
        <v>288797375259.18494</v>
      </c>
      <c r="N3" s="49">
        <v>290301329537.62006</v>
      </c>
      <c r="O3" s="49">
        <v>290964280096.96887</v>
      </c>
      <c r="P3" s="49">
        <v>291249636881.97467</v>
      </c>
      <c r="Q3" s="49">
        <v>291369319289.9635</v>
      </c>
      <c r="R3" s="49">
        <v>291430436757.21704</v>
      </c>
      <c r="S3" s="49">
        <v>291490399465.7113</v>
      </c>
      <c r="T3" s="49">
        <v>291580989108.52344</v>
      </c>
      <c r="U3" s="49">
        <v>291719837295.42194</v>
      </c>
      <c r="W3" s="48" t="s">
        <v>92</v>
      </c>
      <c r="X3" s="49">
        <v>194146503182.13632</v>
      </c>
      <c r="Y3" s="49">
        <v>174994814391.28311</v>
      </c>
      <c r="Z3" s="49">
        <v>159106388130.8248</v>
      </c>
      <c r="AA3" s="49">
        <v>145389428800.21768</v>
      </c>
      <c r="AB3" s="49">
        <v>133244901093.93204</v>
      </c>
      <c r="AC3" s="49">
        <v>122306528394.26628</v>
      </c>
      <c r="AD3" s="49">
        <v>112333063384.00626</v>
      </c>
      <c r="AE3" s="49">
        <v>103156632594.03883</v>
      </c>
      <c r="AF3" s="49">
        <v>94655498660.968292</v>
      </c>
    </row>
    <row r="4" spans="1:32" x14ac:dyDescent="0.25">
      <c r="A4" s="47">
        <v>0</v>
      </c>
      <c r="B4" s="19">
        <v>482943878441.20984</v>
      </c>
      <c r="C4" s="19">
        <v>463299496968.16821</v>
      </c>
      <c r="D4" s="19">
        <v>446408081852.04956</v>
      </c>
      <c r="E4" s="19">
        <v>431544053806.05267</v>
      </c>
      <c r="F4" s="19">
        <v>418262622576.33997</v>
      </c>
      <c r="G4" s="19">
        <v>406267164643.01929</v>
      </c>
      <c r="H4" s="19">
        <v>395347956718.66388</v>
      </c>
      <c r="I4" s="19">
        <v>385350184245.16309</v>
      </c>
      <c r="J4" s="19">
        <v>376155724565.24792</v>
      </c>
      <c r="L4" s="47">
        <v>0</v>
      </c>
      <c r="M4" s="19">
        <v>288797375259.11737</v>
      </c>
      <c r="N4" s="19">
        <v>288260084170.12653</v>
      </c>
      <c r="O4" s="19">
        <v>287171206424.4375</v>
      </c>
      <c r="P4" s="19">
        <v>285931679557.99585</v>
      </c>
      <c r="Q4" s="19">
        <v>284708974014.44684</v>
      </c>
      <c r="R4" s="19">
        <v>283577868556.75928</v>
      </c>
      <c r="S4" s="19">
        <v>282571691007.17603</v>
      </c>
      <c r="T4" s="19">
        <v>281703780518.74622</v>
      </c>
      <c r="U4" s="19">
        <v>280977549981.76672</v>
      </c>
      <c r="W4" s="47">
        <v>0</v>
      </c>
      <c r="X4" s="19">
        <v>194146503182.0925</v>
      </c>
      <c r="Y4" s="19">
        <v>175039412798.04172</v>
      </c>
      <c r="Z4" s="19">
        <v>159236875427.61209</v>
      </c>
      <c r="AA4" s="19">
        <v>145612374248.05682</v>
      </c>
      <c r="AB4" s="19">
        <v>133553648561.8931</v>
      </c>
      <c r="AC4" s="19">
        <v>122689296086.26001</v>
      </c>
      <c r="AD4" s="19">
        <v>112776265711.48787</v>
      </c>
      <c r="AE4" s="19">
        <v>103646403726.41685</v>
      </c>
      <c r="AF4" s="19">
        <v>95178174583.481232</v>
      </c>
    </row>
    <row r="5" spans="1:32" x14ac:dyDescent="0.25">
      <c r="A5" s="47">
        <v>0.1</v>
      </c>
      <c r="B5" s="19">
        <v>482943878441.2804</v>
      </c>
      <c r="C5" s="19">
        <v>463583847149.96417</v>
      </c>
      <c r="D5" s="19">
        <v>446928441090.61414</v>
      </c>
      <c r="E5" s="19">
        <v>432266541356.81494</v>
      </c>
      <c r="F5" s="19">
        <v>419161882320.61841</v>
      </c>
      <c r="G5" s="19">
        <v>407323346212.99194</v>
      </c>
      <c r="H5" s="19">
        <v>396544996567.02881</v>
      </c>
      <c r="I5" s="19">
        <v>386674746089.57538</v>
      </c>
      <c r="J5" s="19">
        <v>377596506015.25757</v>
      </c>
      <c r="L5" s="47">
        <v>0.1</v>
      </c>
      <c r="M5" s="19">
        <v>288797375259.1814</v>
      </c>
      <c r="N5" s="19">
        <v>288549978043.17413</v>
      </c>
      <c r="O5" s="19">
        <v>287707457357.54193</v>
      </c>
      <c r="P5" s="19">
        <v>286680779249.00745</v>
      </c>
      <c r="Q5" s="19">
        <v>285644335981.71259</v>
      </c>
      <c r="R5" s="19">
        <v>284677857832.7182</v>
      </c>
      <c r="S5" s="19">
        <v>283818271482.1084</v>
      </c>
      <c r="T5" s="19">
        <v>283081703426.27283</v>
      </c>
      <c r="U5" s="19">
        <v>282473659401.67511</v>
      </c>
      <c r="W5" s="47">
        <v>0.1</v>
      </c>
      <c r="X5" s="19">
        <v>194146503182.09903</v>
      </c>
      <c r="Y5" s="19">
        <v>175033869106.79004</v>
      </c>
      <c r="Z5" s="19">
        <v>159220983733.07217</v>
      </c>
      <c r="AA5" s="19">
        <v>145585762107.80746</v>
      </c>
      <c r="AB5" s="19">
        <v>133517546338.90581</v>
      </c>
      <c r="AC5" s="19">
        <v>122645488380.27377</v>
      </c>
      <c r="AD5" s="19">
        <v>112726725084.92039</v>
      </c>
      <c r="AE5" s="19">
        <v>103593042663.30255</v>
      </c>
      <c r="AF5" s="19">
        <v>95122846613.582458</v>
      </c>
    </row>
    <row r="6" spans="1:32" x14ac:dyDescent="0.25">
      <c r="A6" s="47">
        <v>0.2</v>
      </c>
      <c r="B6" s="19">
        <v>482943878441.25537</v>
      </c>
      <c r="C6" s="19">
        <v>463868491070.58826</v>
      </c>
      <c r="D6" s="19">
        <v>447449748617.26465</v>
      </c>
      <c r="E6" s="19">
        <v>432990800137.01074</v>
      </c>
      <c r="F6" s="19">
        <v>420063810250.0647</v>
      </c>
      <c r="G6" s="19">
        <v>408383116296.16827</v>
      </c>
      <c r="H6" s="19">
        <v>397746539921.19739</v>
      </c>
      <c r="I6" s="19">
        <v>388004704318.7345</v>
      </c>
      <c r="J6" s="19">
        <v>379043544731.56006</v>
      </c>
      <c r="L6" s="47">
        <v>0.2</v>
      </c>
      <c r="M6" s="19">
        <v>288797375259.16962</v>
      </c>
      <c r="N6" s="19">
        <v>288840439008.34747</v>
      </c>
      <c r="O6" s="19">
        <v>288245558530.29089</v>
      </c>
      <c r="P6" s="19">
        <v>287433357124.57703</v>
      </c>
      <c r="Q6" s="19">
        <v>286584958895.78772</v>
      </c>
      <c r="R6" s="19">
        <v>285784933019.19196</v>
      </c>
      <c r="S6" s="19">
        <v>285073786809.75421</v>
      </c>
      <c r="T6" s="19">
        <v>284470344129.5625</v>
      </c>
      <c r="U6" s="19">
        <v>283982201710.98029</v>
      </c>
      <c r="W6" s="47">
        <v>0.2</v>
      </c>
      <c r="X6" s="19">
        <v>194146503182.08578</v>
      </c>
      <c r="Y6" s="19">
        <v>175028052062.24075</v>
      </c>
      <c r="Z6" s="19">
        <v>159204190086.97375</v>
      </c>
      <c r="AA6" s="19">
        <v>145557443012.43369</v>
      </c>
      <c r="AB6" s="19">
        <v>133478851354.27695</v>
      </c>
      <c r="AC6" s="19">
        <v>122598183276.97633</v>
      </c>
      <c r="AD6" s="19">
        <v>112672753111.44316</v>
      </c>
      <c r="AE6" s="19">
        <v>103534360189.17198</v>
      </c>
      <c r="AF6" s="19">
        <v>95061343020.579773</v>
      </c>
    </row>
    <row r="7" spans="1:32" x14ac:dyDescent="0.25">
      <c r="A7" s="47">
        <v>0.3</v>
      </c>
      <c r="B7" s="19">
        <v>482943878441.23071</v>
      </c>
      <c r="C7" s="19">
        <v>464153429503.11975</v>
      </c>
      <c r="D7" s="19">
        <v>447972008902.22864</v>
      </c>
      <c r="E7" s="19">
        <v>433716841547.06958</v>
      </c>
      <c r="F7" s="19">
        <v>420968427454.99048</v>
      </c>
      <c r="G7" s="19">
        <v>409446507845.6889</v>
      </c>
      <c r="H7" s="19">
        <v>398952633237.69824</v>
      </c>
      <c r="I7" s="19">
        <v>389340120089.31201</v>
      </c>
      <c r="J7" s="19">
        <v>380496917409.59241</v>
      </c>
      <c r="L7" s="47">
        <v>0.3</v>
      </c>
      <c r="M7" s="19">
        <v>288797375259.1333</v>
      </c>
      <c r="N7" s="19">
        <v>289131469334.71332</v>
      </c>
      <c r="O7" s="19">
        <v>288785522255.69446</v>
      </c>
      <c r="P7" s="19">
        <v>288189447513.9079</v>
      </c>
      <c r="Q7" s="19">
        <v>287530922845.15466</v>
      </c>
      <c r="R7" s="19">
        <v>286899213713.9151</v>
      </c>
      <c r="S7" s="19">
        <v>286338375086.26923</v>
      </c>
      <c r="T7" s="19">
        <v>285869886982.2243</v>
      </c>
      <c r="U7" s="19">
        <v>285503410057.37268</v>
      </c>
      <c r="W7" s="47">
        <v>0.3</v>
      </c>
      <c r="X7" s="19">
        <v>194146503182.09738</v>
      </c>
      <c r="Y7" s="19">
        <v>175021960168.40643</v>
      </c>
      <c r="Z7" s="19">
        <v>159186486646.53415</v>
      </c>
      <c r="AA7" s="19">
        <v>145527394033.16171</v>
      </c>
      <c r="AB7" s="19">
        <v>133437504609.83583</v>
      </c>
      <c r="AC7" s="19">
        <v>122547294131.7738</v>
      </c>
      <c r="AD7" s="19">
        <v>112614258151.42899</v>
      </c>
      <c r="AE7" s="19">
        <v>103470233107.08771</v>
      </c>
      <c r="AF7" s="19">
        <v>94993507352.219711</v>
      </c>
    </row>
    <row r="8" spans="1:32" x14ac:dyDescent="0.25">
      <c r="A8" s="47">
        <v>0.4</v>
      </c>
      <c r="B8" s="19">
        <v>482943878441.24207</v>
      </c>
      <c r="C8" s="19">
        <v>464438663223.79602</v>
      </c>
      <c r="D8" s="19">
        <v>448495226449.74994</v>
      </c>
      <c r="E8" s="19">
        <v>434444677106.05511</v>
      </c>
      <c r="F8" s="19">
        <v>421875755295.73724</v>
      </c>
      <c r="G8" s="19">
        <v>410513554305.25732</v>
      </c>
      <c r="H8" s="19">
        <v>400163323750.56458</v>
      </c>
      <c r="I8" s="19">
        <v>390681055683.10309</v>
      </c>
      <c r="J8" s="19">
        <v>381956702271.13086</v>
      </c>
      <c r="L8" s="47">
        <v>0.4</v>
      </c>
      <c r="M8" s="19">
        <v>288797375259.06732</v>
      </c>
      <c r="N8" s="19">
        <v>289423079110.8775</v>
      </c>
      <c r="O8" s="19">
        <v>289327362513.24957</v>
      </c>
      <c r="P8" s="19">
        <v>288949080758.96759</v>
      </c>
      <c r="Q8" s="19">
        <v>288482261506.74579</v>
      </c>
      <c r="R8" s="19">
        <v>288020799761.36328</v>
      </c>
      <c r="S8" s="19">
        <v>287612181007.245</v>
      </c>
      <c r="T8" s="19">
        <v>287280526521.46332</v>
      </c>
      <c r="U8" s="19">
        <v>287037526854.05774</v>
      </c>
      <c r="W8" s="47">
        <v>0.4</v>
      </c>
      <c r="X8" s="19">
        <v>194146503182.17474</v>
      </c>
      <c r="Y8" s="19">
        <v>175015584112.91852</v>
      </c>
      <c r="Z8" s="19">
        <v>159167863936.50037</v>
      </c>
      <c r="AA8" s="19">
        <v>145495596347.08752</v>
      </c>
      <c r="AB8" s="19">
        <v>133393493788.99146</v>
      </c>
      <c r="AC8" s="19">
        <v>122492754543.89407</v>
      </c>
      <c r="AD8" s="19">
        <v>112551142743.31956</v>
      </c>
      <c r="AE8" s="19">
        <v>103400529161.63976</v>
      </c>
      <c r="AF8" s="19">
        <v>94919175417.07309</v>
      </c>
    </row>
    <row r="9" spans="1:32" x14ac:dyDescent="0.25">
      <c r="A9" s="47">
        <v>0.5</v>
      </c>
      <c r="B9" s="19">
        <v>482943878441.32263</v>
      </c>
      <c r="C9" s="19">
        <v>464724193012.49805</v>
      </c>
      <c r="D9" s="19">
        <v>449019405798.44861</v>
      </c>
      <c r="E9" s="19">
        <v>435174318453.26813</v>
      </c>
      <c r="F9" s="19">
        <v>422785815407.12262</v>
      </c>
      <c r="G9" s="19">
        <v>411584289619.11084</v>
      </c>
      <c r="H9" s="19">
        <v>401378659489.21521</v>
      </c>
      <c r="I9" s="19">
        <v>392027574535.47876</v>
      </c>
      <c r="J9" s="19">
        <v>383422979106.02753</v>
      </c>
      <c r="L9" s="47">
        <v>0.5</v>
      </c>
      <c r="M9" s="19">
        <v>288797375259.18463</v>
      </c>
      <c r="N9" s="19">
        <v>289715254277.27234</v>
      </c>
      <c r="O9" s="19">
        <v>289871090957.56171</v>
      </c>
      <c r="P9" s="19">
        <v>289712310637.96362</v>
      </c>
      <c r="Q9" s="19">
        <v>289439065896.54419</v>
      </c>
      <c r="R9" s="19">
        <v>289149795427.00909</v>
      </c>
      <c r="S9" s="19">
        <v>288895351802.98694</v>
      </c>
      <c r="T9" s="19">
        <v>288702455248.42261</v>
      </c>
      <c r="U9" s="19">
        <v>288584798962.43134</v>
      </c>
      <c r="W9" s="47">
        <v>0.5</v>
      </c>
      <c r="X9" s="19">
        <v>194146503182.13797</v>
      </c>
      <c r="Y9" s="19">
        <v>175008938735.22568</v>
      </c>
      <c r="Z9" s="19">
        <v>159148314840.8869</v>
      </c>
      <c r="AA9" s="19">
        <v>145462007815.3045</v>
      </c>
      <c r="AB9" s="19">
        <v>133346749510.57843</v>
      </c>
      <c r="AC9" s="19">
        <v>122434494192.10176</v>
      </c>
      <c r="AD9" s="19">
        <v>112483307686.22826</v>
      </c>
      <c r="AE9" s="19">
        <v>103325119287.05612</v>
      </c>
      <c r="AF9" s="19">
        <v>94838180143.596176</v>
      </c>
    </row>
    <row r="10" spans="1:32" x14ac:dyDescent="0.25">
      <c r="A10" s="47">
        <v>0.6</v>
      </c>
      <c r="B10" s="19">
        <v>482943878441.3717</v>
      </c>
      <c r="C10" s="19">
        <v>465010019652.11084</v>
      </c>
      <c r="D10" s="19">
        <v>449544551521.62158</v>
      </c>
      <c r="E10" s="19">
        <v>435905777350.24792</v>
      </c>
      <c r="F10" s="19">
        <v>423698629703.55066</v>
      </c>
      <c r="G10" s="19">
        <v>412658748242.34009</v>
      </c>
      <c r="H10" s="19">
        <v>402598689296.91248</v>
      </c>
      <c r="I10" s="19">
        <v>393379741264.76117</v>
      </c>
      <c r="J10" s="19">
        <v>384895829315.40601</v>
      </c>
      <c r="L10" s="47">
        <v>0.6</v>
      </c>
      <c r="M10" s="19">
        <v>288797375259.18414</v>
      </c>
      <c r="N10" s="19">
        <v>290008000507.85675</v>
      </c>
      <c r="O10" s="19">
        <v>290416731343.77917</v>
      </c>
      <c r="P10" s="19">
        <v>290479145391.81268</v>
      </c>
      <c r="Q10" s="19">
        <v>290401395077.10663</v>
      </c>
      <c r="R10" s="19">
        <v>290286303605.20197</v>
      </c>
      <c r="S10" s="19">
        <v>290188040596.13086</v>
      </c>
      <c r="T10" s="19">
        <v>290135875725.23065</v>
      </c>
      <c r="U10" s="19">
        <v>290145481987.35474</v>
      </c>
      <c r="W10" s="47">
        <v>0.6</v>
      </c>
      <c r="X10" s="19">
        <v>194146503182.18756</v>
      </c>
      <c r="Y10" s="19">
        <v>175002019144.25406</v>
      </c>
      <c r="Z10" s="19">
        <v>159127820177.84241</v>
      </c>
      <c r="AA10" s="19">
        <v>145426631958.43524</v>
      </c>
      <c r="AB10" s="19">
        <v>133297234626.444</v>
      </c>
      <c r="AC10" s="19">
        <v>122372444637.13812</v>
      </c>
      <c r="AD10" s="19">
        <v>112410648700.7816</v>
      </c>
      <c r="AE10" s="19">
        <v>103243865539.53053</v>
      </c>
      <c r="AF10" s="19">
        <v>94750347328.051239</v>
      </c>
    </row>
    <row r="11" spans="1:32" x14ac:dyDescent="0.25">
      <c r="A11" s="47">
        <v>0.7</v>
      </c>
      <c r="B11" s="19">
        <v>482943878441.32129</v>
      </c>
      <c r="C11" s="19">
        <v>465296143928.9032</v>
      </c>
      <c r="D11" s="19">
        <v>450070668227.7937</v>
      </c>
      <c r="E11" s="19">
        <v>436639065682.19238</v>
      </c>
      <c r="F11" s="19">
        <v>424614220383.89551</v>
      </c>
      <c r="G11" s="19">
        <v>413736965151.48334</v>
      </c>
      <c r="H11" s="19">
        <v>403823462849.71753</v>
      </c>
      <c r="I11" s="19">
        <v>394737621702.56226</v>
      </c>
      <c r="J11" s="19">
        <v>386375335956.39026</v>
      </c>
      <c r="L11" s="47">
        <v>0.7</v>
      </c>
      <c r="M11" s="19">
        <v>288797375259.18494</v>
      </c>
      <c r="N11" s="19">
        <v>290301329537.62006</v>
      </c>
      <c r="O11" s="19">
        <v>290964280096.96887</v>
      </c>
      <c r="P11" s="19">
        <v>291249636881.97467</v>
      </c>
      <c r="Q11" s="19">
        <v>291369319289.9635</v>
      </c>
      <c r="R11" s="19">
        <v>291430436757.21704</v>
      </c>
      <c r="S11" s="19">
        <v>291490399465.7113</v>
      </c>
      <c r="T11" s="19">
        <v>291580989108.52344</v>
      </c>
      <c r="U11" s="19">
        <v>291719837295.42194</v>
      </c>
      <c r="W11" s="47">
        <v>0.7</v>
      </c>
      <c r="X11" s="19">
        <v>194146503182.13632</v>
      </c>
      <c r="Y11" s="19">
        <v>174994814391.28311</v>
      </c>
      <c r="Z11" s="19">
        <v>159106388130.8248</v>
      </c>
      <c r="AA11" s="19">
        <v>145389428800.21768</v>
      </c>
      <c r="AB11" s="19">
        <v>133244901093.93204</v>
      </c>
      <c r="AC11" s="19">
        <v>122306528394.26628</v>
      </c>
      <c r="AD11" s="19">
        <v>112333063384.00626</v>
      </c>
      <c r="AE11" s="19">
        <v>103156632594.03883</v>
      </c>
      <c r="AF11" s="19">
        <v>94655498660.968292</v>
      </c>
    </row>
    <row r="12" spans="1:32" x14ac:dyDescent="0.25">
      <c r="A12" s="47"/>
      <c r="B12" s="19"/>
      <c r="C12" s="19"/>
      <c r="D12" s="19"/>
      <c r="E12" s="19"/>
      <c r="F12" s="19"/>
      <c r="G12" s="19"/>
      <c r="H12" s="19"/>
      <c r="I12" s="19"/>
      <c r="J12" s="19"/>
      <c r="L12" s="47"/>
      <c r="M12" s="19"/>
      <c r="N12" s="19"/>
      <c r="O12" s="19"/>
      <c r="P12" s="19"/>
      <c r="Q12" s="19"/>
      <c r="R12" s="19"/>
      <c r="S12" s="19"/>
      <c r="T12" s="19"/>
      <c r="U12" s="19"/>
      <c r="W12" s="47"/>
      <c r="X12" s="19"/>
      <c r="Y12" s="19"/>
      <c r="Z12" s="19"/>
      <c r="AA12" s="19"/>
      <c r="AB12" s="19"/>
      <c r="AC12" s="19"/>
      <c r="AD12" s="19"/>
      <c r="AE12" s="19"/>
      <c r="AF12" s="19"/>
    </row>
    <row r="13" spans="1:32" x14ac:dyDescent="0.25">
      <c r="A13" s="47"/>
      <c r="B13" s="19"/>
      <c r="C13" s="19"/>
      <c r="D13" s="19"/>
      <c r="E13" s="19"/>
      <c r="F13" s="19"/>
      <c r="G13" s="19"/>
      <c r="H13" s="19"/>
      <c r="I13" s="19"/>
      <c r="J13" s="19"/>
      <c r="L13" s="47"/>
      <c r="M13" s="19"/>
      <c r="N13" s="19"/>
      <c r="O13" s="19"/>
      <c r="P13" s="19"/>
      <c r="Q13" s="19"/>
      <c r="R13" s="19"/>
      <c r="S13" s="19"/>
      <c r="T13" s="19"/>
      <c r="U13" s="19"/>
      <c r="W13" s="47"/>
      <c r="X13" s="19"/>
      <c r="Y13" s="19"/>
      <c r="Z13" s="19"/>
      <c r="AA13" s="19"/>
      <c r="AB13" s="19"/>
      <c r="AC13" s="19"/>
      <c r="AD13" s="19"/>
      <c r="AE13" s="19"/>
      <c r="AF13" s="19"/>
    </row>
    <row r="14" spans="1:32" x14ac:dyDescent="0.25">
      <c r="A14" s="47"/>
      <c r="B14" s="19"/>
      <c r="C14" s="19"/>
      <c r="D14" s="19"/>
      <c r="E14" s="19"/>
      <c r="F14" s="19"/>
      <c r="G14" s="19"/>
      <c r="H14" s="19"/>
      <c r="I14" s="19"/>
      <c r="J14" s="19"/>
      <c r="L14" s="47"/>
      <c r="M14" s="19"/>
      <c r="N14" s="19"/>
      <c r="O14" s="19"/>
      <c r="P14" s="19"/>
      <c r="Q14" s="19"/>
      <c r="R14" s="19"/>
      <c r="S14" s="19"/>
      <c r="T14" s="19"/>
      <c r="U14" s="19"/>
      <c r="W14" s="47"/>
      <c r="X14" s="19"/>
      <c r="Y14" s="19"/>
      <c r="Z14" s="19"/>
      <c r="AA14" s="19"/>
      <c r="AB14" s="19"/>
      <c r="AC14" s="19"/>
      <c r="AD14" s="19"/>
      <c r="AE14" s="19"/>
      <c r="AF14" s="19"/>
    </row>
    <row r="15" spans="1:32" x14ac:dyDescent="0.25">
      <c r="A15" s="45" t="s">
        <v>77</v>
      </c>
      <c r="B15" s="46">
        <f>Model!B5</f>
        <v>1032775.6222340773</v>
      </c>
      <c r="C15" s="45"/>
      <c r="D15" s="45"/>
      <c r="E15" s="45"/>
      <c r="F15" s="45"/>
      <c r="G15" s="45"/>
      <c r="H15" s="45"/>
      <c r="I15" s="45"/>
      <c r="J15" s="45"/>
      <c r="L15" s="45" t="s">
        <v>77</v>
      </c>
      <c r="M15" s="46">
        <f>Model!B6</f>
        <v>295735.65793415229</v>
      </c>
      <c r="N15" s="45"/>
      <c r="O15" s="45"/>
      <c r="P15" s="45"/>
      <c r="Q15" s="45"/>
      <c r="R15" s="45"/>
      <c r="S15" s="45"/>
      <c r="T15" s="45"/>
      <c r="U15" s="45"/>
    </row>
    <row r="16" spans="1:32" x14ac:dyDescent="0.25">
      <c r="A16" s="47" t="s">
        <v>93</v>
      </c>
      <c r="B16" s="47">
        <v>0</v>
      </c>
      <c r="C16" s="47">
        <v>0.5</v>
      </c>
      <c r="D16" s="47">
        <v>1</v>
      </c>
      <c r="E16" s="47">
        <v>1.5</v>
      </c>
      <c r="F16" s="47">
        <v>2</v>
      </c>
      <c r="G16" s="47">
        <v>2.5</v>
      </c>
      <c r="H16" s="47">
        <v>3</v>
      </c>
      <c r="I16" s="47">
        <v>3.5</v>
      </c>
      <c r="J16" s="47">
        <v>4</v>
      </c>
      <c r="L16" s="47" t="s">
        <v>94</v>
      </c>
      <c r="M16" s="47">
        <v>0</v>
      </c>
      <c r="N16" s="47">
        <v>0.5</v>
      </c>
      <c r="O16" s="47">
        <v>1</v>
      </c>
      <c r="P16" s="47">
        <v>1.5</v>
      </c>
      <c r="Q16" s="47">
        <v>2</v>
      </c>
      <c r="R16" s="47">
        <v>2.5</v>
      </c>
      <c r="S16" s="47">
        <v>3</v>
      </c>
      <c r="T16" s="47">
        <v>3.5</v>
      </c>
      <c r="U16" s="47">
        <v>4</v>
      </c>
    </row>
    <row r="17" spans="1:21" x14ac:dyDescent="0.25">
      <c r="A17" s="48" t="s">
        <v>92</v>
      </c>
      <c r="B17" s="49">
        <v>1011208.3871934941</v>
      </c>
      <c r="C17" s="49">
        <v>1017596.333506957</v>
      </c>
      <c r="D17" s="49">
        <v>1021494.0074986485</v>
      </c>
      <c r="E17" s="49">
        <v>1024202.5123961457</v>
      </c>
      <c r="F17" s="49">
        <v>1026303.4334587115</v>
      </c>
      <c r="G17" s="49">
        <v>1028086.8058352591</v>
      </c>
      <c r="H17" s="49">
        <v>1029707.8953028842</v>
      </c>
      <c r="I17" s="49">
        <v>1031253.988721523</v>
      </c>
      <c r="J17" s="49">
        <v>1032775.6222340773</v>
      </c>
      <c r="L17" s="48" t="s">
        <v>92</v>
      </c>
      <c r="M17" s="49">
        <v>522389.78699003428</v>
      </c>
      <c r="N17" s="49">
        <v>478939.8490056289</v>
      </c>
      <c r="O17" s="49">
        <v>443107.96025770804</v>
      </c>
      <c r="P17" s="49">
        <v>412183.8735845976</v>
      </c>
      <c r="Q17" s="49">
        <v>384712.37065860606</v>
      </c>
      <c r="R17" s="49">
        <v>359818.65209820063</v>
      </c>
      <c r="S17" s="49">
        <v>336934.16525628074</v>
      </c>
      <c r="T17" s="49">
        <v>315667.23497905047</v>
      </c>
      <c r="U17" s="49">
        <v>295735.65793415229</v>
      </c>
    </row>
    <row r="18" spans="1:21" x14ac:dyDescent="0.25">
      <c r="A18" s="47">
        <v>0</v>
      </c>
      <c r="B18" s="19">
        <v>1011208.3817929326</v>
      </c>
      <c r="C18" s="19">
        <v>1010436.7570091013</v>
      </c>
      <c r="D18" s="19">
        <v>1008325.4828840158</v>
      </c>
      <c r="E18" s="19">
        <v>1005871.4049384535</v>
      </c>
      <c r="F18" s="19">
        <v>1003461.5135750875</v>
      </c>
      <c r="G18" s="19">
        <v>1001254.0188506093</v>
      </c>
      <c r="H18" s="19">
        <v>999310.96220374445</v>
      </c>
      <c r="I18" s="19">
        <v>997651.25824670598</v>
      </c>
      <c r="J18" s="19">
        <v>996274.27479398344</v>
      </c>
      <c r="L18" s="47">
        <v>0</v>
      </c>
      <c r="M18" s="19">
        <v>522389.7653521251</v>
      </c>
      <c r="N18" s="19">
        <v>479798.5536309614</v>
      </c>
      <c r="O18" s="19">
        <v>444891.22746799752</v>
      </c>
      <c r="P18" s="19">
        <v>414870.45123302325</v>
      </c>
      <c r="Q18" s="19">
        <v>388251.54009145603</v>
      </c>
      <c r="R18" s="19">
        <v>364150.35733496922</v>
      </c>
      <c r="S18" s="19">
        <v>341996.49527454935</v>
      </c>
      <c r="T18" s="19">
        <v>321399.49915508705</v>
      </c>
      <c r="U18" s="19">
        <v>302079.00065330393</v>
      </c>
    </row>
    <row r="19" spans="1:21" x14ac:dyDescent="0.25">
      <c r="A19" s="47">
        <v>0.1</v>
      </c>
      <c r="B19" s="19">
        <v>1011208.3859789728</v>
      </c>
      <c r="C19" s="19">
        <v>1011452.8238465157</v>
      </c>
      <c r="D19" s="19">
        <v>1010184.9316768829</v>
      </c>
      <c r="E19" s="19">
        <v>1008449.430158467</v>
      </c>
      <c r="F19" s="19">
        <v>1006663.2852187385</v>
      </c>
      <c r="G19" s="19">
        <v>1005004.7322914047</v>
      </c>
      <c r="H19" s="19">
        <v>1003549.7339411587</v>
      </c>
      <c r="I19" s="19">
        <v>1002327.4332651321</v>
      </c>
      <c r="J19" s="19">
        <v>1001344.7171085578</v>
      </c>
      <c r="L19" s="47">
        <v>0.1</v>
      </c>
      <c r="M19" s="19">
        <v>522389.76819601707</v>
      </c>
      <c r="N19" s="19">
        <v>479677.85999642848</v>
      </c>
      <c r="O19" s="19">
        <v>444643.09758397343</v>
      </c>
      <c r="P19" s="19">
        <v>414499.41238534538</v>
      </c>
      <c r="Q19" s="19">
        <v>387765.59343136469</v>
      </c>
      <c r="R19" s="19">
        <v>363558.38268925907</v>
      </c>
      <c r="S19" s="19">
        <v>341307.50564110623</v>
      </c>
      <c r="T19" s="19">
        <v>320622.02945239609</v>
      </c>
      <c r="U19" s="19">
        <v>301221.24863246991</v>
      </c>
    </row>
    <row r="20" spans="1:21" x14ac:dyDescent="0.25">
      <c r="A20" s="47">
        <v>0.2</v>
      </c>
      <c r="B20" s="19">
        <v>1011208.3846545661</v>
      </c>
      <c r="C20" s="19">
        <v>1012471.1183046888</v>
      </c>
      <c r="D20" s="19">
        <v>1012051.547666585</v>
      </c>
      <c r="E20" s="19">
        <v>1011040.7936555763</v>
      </c>
      <c r="F20" s="19">
        <v>1009885.078984476</v>
      </c>
      <c r="G20" s="19">
        <v>1008782.2699329159</v>
      </c>
      <c r="H20" s="19">
        <v>1007822.1213561465</v>
      </c>
      <c r="I20" s="19">
        <v>1007043.7791515287</v>
      </c>
      <c r="J20" s="19">
        <v>1006461.6200039136</v>
      </c>
      <c r="L20" s="47">
        <v>0.2</v>
      </c>
      <c r="M20" s="19">
        <v>522389.76254685171</v>
      </c>
      <c r="N20" s="19">
        <v>479556.51866567769</v>
      </c>
      <c r="O20" s="19">
        <v>444392.7980247201</v>
      </c>
      <c r="P20" s="19">
        <v>414124.21129079454</v>
      </c>
      <c r="Q20" s="19">
        <v>387273.27805412491</v>
      </c>
      <c r="R20" s="19">
        <v>362957.77819094225</v>
      </c>
      <c r="S20" s="19">
        <v>340607.49172346562</v>
      </c>
      <c r="T20" s="19">
        <v>319831.26032010111</v>
      </c>
      <c r="U20" s="19">
        <v>300347.98571972561</v>
      </c>
    </row>
    <row r="21" spans="1:21" x14ac:dyDescent="0.25">
      <c r="A21" s="47">
        <v>0.3</v>
      </c>
      <c r="B21" s="19">
        <v>1011208.3824810573</v>
      </c>
      <c r="C21" s="19">
        <v>1013491.6495208725</v>
      </c>
      <c r="D21" s="19">
        <v>1013925.3822456988</v>
      </c>
      <c r="E21" s="19">
        <v>1013645.6313470535</v>
      </c>
      <c r="F21" s="19">
        <v>1013127.1788512092</v>
      </c>
      <c r="G21" s="19">
        <v>1012587.0607937329</v>
      </c>
      <c r="H21" s="19">
        <v>1012128.6678535858</v>
      </c>
      <c r="I21" s="19">
        <v>1011801.0141824861</v>
      </c>
      <c r="J21" s="19">
        <v>1011625.8862596522</v>
      </c>
      <c r="L21" s="47">
        <v>0.3</v>
      </c>
      <c r="M21" s="19">
        <v>522389.7674265001</v>
      </c>
      <c r="N21" s="19">
        <v>479434.53318045556</v>
      </c>
      <c r="O21" s="19">
        <v>444140.30563013896</v>
      </c>
      <c r="P21" s="19">
        <v>413744.79637210415</v>
      </c>
      <c r="Q21" s="19">
        <v>386774.42331890465</v>
      </c>
      <c r="R21" s="19">
        <v>362348.31003135355</v>
      </c>
      <c r="S21" s="19">
        <v>339896.23870338849</v>
      </c>
      <c r="T21" s="19">
        <v>319026.90153599472</v>
      </c>
      <c r="U21" s="19">
        <v>299458.85083421005</v>
      </c>
    </row>
    <row r="22" spans="1:21" x14ac:dyDescent="0.25">
      <c r="A22" s="47">
        <v>0.4</v>
      </c>
      <c r="B22" s="19">
        <v>1011208.3800409788</v>
      </c>
      <c r="C22" s="19">
        <v>1014514.4434392265</v>
      </c>
      <c r="D22" s="19">
        <v>1015806.4903928783</v>
      </c>
      <c r="E22" s="19">
        <v>1016264.0716127179</v>
      </c>
      <c r="F22" s="19">
        <v>1016389.7762592058</v>
      </c>
      <c r="G22" s="19">
        <v>1016419.4993722189</v>
      </c>
      <c r="H22" s="19">
        <v>1016469.9358911418</v>
      </c>
      <c r="I22" s="19">
        <v>1016599.8865210402</v>
      </c>
      <c r="J22" s="19">
        <v>1016838.4494651295</v>
      </c>
      <c r="L22" s="47">
        <v>0.4</v>
      </c>
      <c r="M22" s="19">
        <v>522389.81667691871</v>
      </c>
      <c r="N22" s="19">
        <v>479311.78319340316</v>
      </c>
      <c r="O22" s="19">
        <v>443885.59913816792</v>
      </c>
      <c r="P22" s="19">
        <v>413361.13674290286</v>
      </c>
      <c r="Q22" s="19">
        <v>386269.06049125001</v>
      </c>
      <c r="R22" s="19">
        <v>361729.82836920908</v>
      </c>
      <c r="S22" s="19">
        <v>339173.5220443256</v>
      </c>
      <c r="T22" s="19">
        <v>318208.62814691436</v>
      </c>
      <c r="U22" s="19">
        <v>298553.45257042273</v>
      </c>
    </row>
    <row r="23" spans="1:21" x14ac:dyDescent="0.25">
      <c r="A23" s="47">
        <v>0.5</v>
      </c>
      <c r="B23" s="19">
        <v>1011208.3876289029</v>
      </c>
      <c r="C23" s="19">
        <v>1015539.4758347812</v>
      </c>
      <c r="D23" s="19">
        <v>1017694.922561252</v>
      </c>
      <c r="E23" s="19">
        <v>1018896.2942279023</v>
      </c>
      <c r="F23" s="19">
        <v>1019673.1816395648</v>
      </c>
      <c r="G23" s="19">
        <v>1020279.9930685166</v>
      </c>
      <c r="H23" s="19">
        <v>1020846.500530867</v>
      </c>
      <c r="I23" s="19">
        <v>1021441.1495273344</v>
      </c>
      <c r="J23" s="19">
        <v>1022100.2646229996</v>
      </c>
      <c r="L23" s="47">
        <v>0.5</v>
      </c>
      <c r="M23" s="19">
        <v>522389.78787573951</v>
      </c>
      <c r="N23" s="19">
        <v>479188.46439757675</v>
      </c>
      <c r="O23" s="19">
        <v>443628.66582626256</v>
      </c>
      <c r="P23" s="19">
        <v>412973.07368392125</v>
      </c>
      <c r="Q23" s="19">
        <v>385756.98971898004</v>
      </c>
      <c r="R23" s="19">
        <v>361102.16949061496</v>
      </c>
      <c r="S23" s="19">
        <v>338439.09688822069</v>
      </c>
      <c r="T23" s="19">
        <v>317376.1432852397</v>
      </c>
      <c r="U23" s="19">
        <v>297631.40149600542</v>
      </c>
    </row>
    <row r="24" spans="1:21" x14ac:dyDescent="0.25">
      <c r="A24" s="47">
        <v>0.6</v>
      </c>
      <c r="B24" s="19">
        <v>1011208.3878848166</v>
      </c>
      <c r="C24" s="19">
        <v>1016566.7633153684</v>
      </c>
      <c r="D24" s="19">
        <v>1019590.7554250477</v>
      </c>
      <c r="E24" s="19">
        <v>1021542.382159488</v>
      </c>
      <c r="F24" s="19">
        <v>1022977.6430901135</v>
      </c>
      <c r="G24" s="19">
        <v>1024168.9510531883</v>
      </c>
      <c r="H24" s="19">
        <v>1025258.954480117</v>
      </c>
      <c r="I24" s="19">
        <v>1026325.5871342799</v>
      </c>
      <c r="J24" s="19">
        <v>1027412.3184423741</v>
      </c>
      <c r="L24" s="47">
        <v>0.6</v>
      </c>
      <c r="M24" s="19">
        <v>522389.84176134877</v>
      </c>
      <c r="N24" s="19">
        <v>479064.4965373209</v>
      </c>
      <c r="O24" s="19">
        <v>443369.43176089687</v>
      </c>
      <c r="P24" s="19">
        <v>412580.69594964647</v>
      </c>
      <c r="Q24" s="19">
        <v>385238.12993013335</v>
      </c>
      <c r="R24" s="19">
        <v>360465.1713964346</v>
      </c>
      <c r="S24" s="19">
        <v>337692.72331585013</v>
      </c>
      <c r="T24" s="19">
        <v>316529.11289741023</v>
      </c>
      <c r="U24" s="19">
        <v>296692.27621649491</v>
      </c>
    </row>
    <row r="25" spans="1:21" x14ac:dyDescent="0.25">
      <c r="A25" s="47">
        <v>0.7</v>
      </c>
      <c r="B25" s="19">
        <v>1011208.3871934941</v>
      </c>
      <c r="C25" s="19">
        <v>1017596.333506957</v>
      </c>
      <c r="D25" s="19">
        <v>1021494.0074986485</v>
      </c>
      <c r="E25" s="19">
        <v>1024202.5123961457</v>
      </c>
      <c r="F25" s="19">
        <v>1026303.4334587115</v>
      </c>
      <c r="G25" s="19">
        <v>1028086.8058352591</v>
      </c>
      <c r="H25" s="19">
        <v>1029707.8953028842</v>
      </c>
      <c r="I25" s="19">
        <v>1031253.988721523</v>
      </c>
      <c r="J25" s="19">
        <v>1032775.6222340773</v>
      </c>
      <c r="L25" s="47">
        <v>0.7</v>
      </c>
      <c r="M25" s="19">
        <v>522389.78699003428</v>
      </c>
      <c r="N25" s="19">
        <v>478939.8490056289</v>
      </c>
      <c r="O25" s="19">
        <v>443107.96025770804</v>
      </c>
      <c r="P25" s="19">
        <v>412183.8735845976</v>
      </c>
      <c r="Q25" s="19">
        <v>384712.37065860606</v>
      </c>
      <c r="R25" s="19">
        <v>359818.65209820063</v>
      </c>
      <c r="S25" s="19">
        <v>336934.16525628074</v>
      </c>
      <c r="T25" s="19">
        <v>315667.23497905047</v>
      </c>
      <c r="U25" s="19">
        <v>295735.65793415229</v>
      </c>
    </row>
    <row r="26" spans="1:21" x14ac:dyDescent="0.25">
      <c r="A26" s="47"/>
      <c r="B26" s="19"/>
      <c r="C26" s="19"/>
      <c r="D26" s="19"/>
      <c r="E26" s="19"/>
      <c r="F26" s="19"/>
      <c r="G26" s="19"/>
      <c r="H26" s="19"/>
      <c r="I26" s="19"/>
      <c r="J26" s="19"/>
      <c r="L26" s="47"/>
      <c r="M26" s="19"/>
      <c r="N26" s="19"/>
      <c r="O26" s="19"/>
      <c r="P26" s="19"/>
      <c r="Q26" s="19"/>
      <c r="R26" s="19"/>
      <c r="S26" s="19"/>
      <c r="T26" s="19"/>
      <c r="U26" s="19"/>
    </row>
    <row r="27" spans="1:21" x14ac:dyDescent="0.25">
      <c r="A27" s="47"/>
      <c r="B27" s="19"/>
      <c r="C27" s="19"/>
      <c r="D27" s="19"/>
      <c r="E27" s="19"/>
      <c r="F27" s="19"/>
      <c r="G27" s="19"/>
      <c r="H27" s="19"/>
      <c r="I27" s="19"/>
      <c r="J27" s="19"/>
      <c r="L27" s="47"/>
      <c r="M27" s="19"/>
      <c r="N27" s="19"/>
      <c r="O27" s="19"/>
      <c r="P27" s="19"/>
      <c r="Q27" s="19"/>
      <c r="R27" s="19"/>
      <c r="S27" s="19"/>
      <c r="T27" s="19"/>
      <c r="U27" s="19"/>
    </row>
    <row r="28" spans="1:21" x14ac:dyDescent="0.25">
      <c r="A28" s="47"/>
      <c r="B28" s="19"/>
      <c r="C28" s="19"/>
      <c r="D28" s="19"/>
      <c r="E28" s="19"/>
      <c r="F28" s="19"/>
      <c r="G28" s="19"/>
      <c r="H28" s="19"/>
      <c r="I28" s="19"/>
      <c r="J28" s="19"/>
      <c r="L28" s="47"/>
      <c r="M28" s="19"/>
      <c r="N28" s="19"/>
      <c r="O28" s="19"/>
      <c r="P28" s="19"/>
      <c r="Q28" s="19"/>
      <c r="R28" s="19"/>
      <c r="S28" s="19"/>
      <c r="T28" s="19"/>
      <c r="U28" s="19"/>
    </row>
    <row r="29" spans="1:21" x14ac:dyDescent="0.25">
      <c r="A29" s="45" t="s">
        <v>77</v>
      </c>
      <c r="B29" s="46">
        <f>Model!B13</f>
        <v>2739886.8565247096</v>
      </c>
      <c r="C29" s="45"/>
      <c r="D29" s="45"/>
      <c r="E29" s="45"/>
      <c r="F29" s="45"/>
      <c r="G29" s="45"/>
      <c r="H29" s="45"/>
      <c r="I29" s="45"/>
      <c r="J29" s="45"/>
      <c r="L29" s="45" t="s">
        <v>77</v>
      </c>
      <c r="M29" s="46">
        <f>Model!B15</f>
        <v>1003092.8572031662</v>
      </c>
      <c r="N29" s="45"/>
      <c r="O29" s="45"/>
      <c r="P29" s="45"/>
      <c r="Q29" s="45"/>
      <c r="R29" s="45"/>
      <c r="S29" s="45"/>
      <c r="T29" s="45"/>
      <c r="U29" s="45"/>
    </row>
    <row r="30" spans="1:21" x14ac:dyDescent="0.25">
      <c r="A30" s="47" t="s">
        <v>95</v>
      </c>
      <c r="B30" s="47">
        <v>0</v>
      </c>
      <c r="C30" s="47">
        <v>0.5</v>
      </c>
      <c r="D30" s="47">
        <v>1</v>
      </c>
      <c r="E30" s="47">
        <v>1.5</v>
      </c>
      <c r="F30" s="47">
        <v>2</v>
      </c>
      <c r="G30" s="47">
        <v>2.5</v>
      </c>
      <c r="H30" s="47">
        <v>3</v>
      </c>
      <c r="I30" s="47">
        <v>3.5</v>
      </c>
      <c r="J30" s="47">
        <v>4</v>
      </c>
      <c r="L30" s="47" t="s">
        <v>96</v>
      </c>
      <c r="M30" s="47">
        <v>0</v>
      </c>
      <c r="N30" s="47">
        <v>0.5</v>
      </c>
      <c r="O30" s="47">
        <v>1</v>
      </c>
      <c r="P30" s="47">
        <v>1.5</v>
      </c>
      <c r="Q30" s="47">
        <v>2</v>
      </c>
      <c r="R30" s="47">
        <v>2.5</v>
      </c>
      <c r="S30" s="47">
        <v>3</v>
      </c>
      <c r="T30" s="47">
        <v>3.5</v>
      </c>
      <c r="U30" s="47">
        <v>4</v>
      </c>
    </row>
    <row r="31" spans="1:21" x14ac:dyDescent="0.25">
      <c r="A31" s="48" t="s">
        <v>92</v>
      </c>
      <c r="B31" s="49">
        <v>3547821.6744025862</v>
      </c>
      <c r="C31" s="49">
        <v>3316464.1328610945</v>
      </c>
      <c r="D31" s="49">
        <v>3153702.3782348461</v>
      </c>
      <c r="E31" s="49">
        <v>3033418.7843419584</v>
      </c>
      <c r="F31" s="49">
        <v>2941898.0226923618</v>
      </c>
      <c r="G31" s="49">
        <v>2871090.6932369852</v>
      </c>
      <c r="H31" s="49">
        <v>2815907.0857962198</v>
      </c>
      <c r="I31" s="49">
        <v>2772956.7543238653</v>
      </c>
      <c r="J31" s="49">
        <v>2739886.8565247096</v>
      </c>
      <c r="L31" s="48" t="s">
        <v>92</v>
      </c>
      <c r="M31" s="49">
        <v>1614691.0145247011</v>
      </c>
      <c r="N31" s="49">
        <v>1484277.9377742035</v>
      </c>
      <c r="O31" s="49">
        <v>1381970.1646911723</v>
      </c>
      <c r="P31" s="49">
        <v>1297175.7854180501</v>
      </c>
      <c r="Q31" s="49">
        <v>1224376.0772928621</v>
      </c>
      <c r="R31" s="49">
        <v>1160329.6793419737</v>
      </c>
      <c r="S31" s="49">
        <v>1102968.3676989258</v>
      </c>
      <c r="T31" s="49">
        <v>1050888.5904504866</v>
      </c>
      <c r="U31" s="49">
        <v>1003092.8572031662</v>
      </c>
    </row>
    <row r="32" spans="1:21" x14ac:dyDescent="0.25">
      <c r="A32" s="47">
        <v>0</v>
      </c>
      <c r="B32" s="19">
        <v>3547824.6591406874</v>
      </c>
      <c r="C32" s="19">
        <v>3285825.2853806042</v>
      </c>
      <c r="D32" s="19">
        <v>3102252.2643094677</v>
      </c>
      <c r="E32" s="19">
        <v>2966769.720876425</v>
      </c>
      <c r="F32" s="19">
        <v>2863603.4463217752</v>
      </c>
      <c r="G32" s="19">
        <v>2783557.898756762</v>
      </c>
      <c r="H32" s="19">
        <v>2720857.3990733842</v>
      </c>
      <c r="I32" s="19">
        <v>2671673.1996723907</v>
      </c>
      <c r="J32" s="19">
        <v>2633371.8370775813</v>
      </c>
      <c r="L32" s="47">
        <v>0</v>
      </c>
      <c r="M32" s="19">
        <v>1614691.3911633175</v>
      </c>
      <c r="N32" s="19">
        <v>1473820.5729588938</v>
      </c>
      <c r="O32" s="19">
        <v>1364739.6961320965</v>
      </c>
      <c r="P32" s="19">
        <v>1275272.7574859215</v>
      </c>
      <c r="Q32" s="19">
        <v>1199131.9777441181</v>
      </c>
      <c r="R32" s="19">
        <v>1132649.8107855532</v>
      </c>
      <c r="S32" s="19">
        <v>1073499.0309904448</v>
      </c>
      <c r="T32" s="19">
        <v>1020107.5782332607</v>
      </c>
      <c r="U32" s="19">
        <v>971360.75719994097</v>
      </c>
    </row>
    <row r="33" spans="1:21" x14ac:dyDescent="0.25">
      <c r="A33" s="47">
        <v>0.1</v>
      </c>
      <c r="B33" s="19">
        <v>3547822.3456493807</v>
      </c>
      <c r="C33" s="19">
        <v>3290170.7414664989</v>
      </c>
      <c r="D33" s="19">
        <v>3109510.2922434099</v>
      </c>
      <c r="E33" s="19">
        <v>2976132.8333299463</v>
      </c>
      <c r="F33" s="19">
        <v>2874565.9882674068</v>
      </c>
      <c r="G33" s="19">
        <v>2795781.539639771</v>
      </c>
      <c r="H33" s="19">
        <v>2734100.6741231699</v>
      </c>
      <c r="I33" s="19">
        <v>2685759.8071120535</v>
      </c>
      <c r="J33" s="19">
        <v>2648164.8116221423</v>
      </c>
      <c r="L33" s="47">
        <v>0.1</v>
      </c>
      <c r="M33" s="19">
        <v>1614691.3416613385</v>
      </c>
      <c r="N33" s="19">
        <v>1475301.9569531016</v>
      </c>
      <c r="O33" s="19">
        <v>1367164.8916009129</v>
      </c>
      <c r="P33" s="19">
        <v>1278338.6209498278</v>
      </c>
      <c r="Q33" s="19">
        <v>1202648.8867603729</v>
      </c>
      <c r="R33" s="19">
        <v>1136490.1832728991</v>
      </c>
      <c r="S33" s="19">
        <v>1077572.4727688595</v>
      </c>
      <c r="T33" s="19">
        <v>1024347.9757362908</v>
      </c>
      <c r="U33" s="19">
        <v>975718.6187082259</v>
      </c>
    </row>
    <row r="34" spans="1:21" x14ac:dyDescent="0.25">
      <c r="A34" s="47">
        <v>0.2</v>
      </c>
      <c r="B34" s="19">
        <v>3547823.0776183265</v>
      </c>
      <c r="C34" s="19">
        <v>3294526.6668530083</v>
      </c>
      <c r="D34" s="19">
        <v>3116798.6758563649</v>
      </c>
      <c r="E34" s="19">
        <v>2985547.8056194657</v>
      </c>
      <c r="F34" s="19">
        <v>2885600.9454293037</v>
      </c>
      <c r="G34" s="19">
        <v>2808095.8163779336</v>
      </c>
      <c r="H34" s="19">
        <v>2747452.88640599</v>
      </c>
      <c r="I34" s="19">
        <v>2699970.2552929157</v>
      </c>
      <c r="J34" s="19">
        <v>2663094.4772142135</v>
      </c>
      <c r="L34" s="47">
        <v>0.2</v>
      </c>
      <c r="M34" s="19">
        <v>1614691.4399930805</v>
      </c>
      <c r="N34" s="19">
        <v>1476787.3958356909</v>
      </c>
      <c r="O34" s="19">
        <v>1369601.9710056295</v>
      </c>
      <c r="P34" s="19">
        <v>1281425.1554787811</v>
      </c>
      <c r="Q34" s="19">
        <v>1206194.925456048</v>
      </c>
      <c r="R34" s="19">
        <v>1140367.5092849925</v>
      </c>
      <c r="S34" s="19">
        <v>1081690.1135277082</v>
      </c>
      <c r="T34" s="19">
        <v>1028639.0297272858</v>
      </c>
      <c r="U34" s="19">
        <v>980133.02475790156</v>
      </c>
    </row>
    <row r="35" spans="1:21" x14ac:dyDescent="0.25">
      <c r="A35" s="47">
        <v>0.3</v>
      </c>
      <c r="B35" s="19">
        <v>3547824.2788432967</v>
      </c>
      <c r="C35" s="19">
        <v>3298893.1148409327</v>
      </c>
      <c r="D35" s="19">
        <v>3124117.5008280845</v>
      </c>
      <c r="E35" s="19">
        <v>2995015.156254421</v>
      </c>
      <c r="F35" s="19">
        <v>2896710.423675729</v>
      </c>
      <c r="G35" s="19">
        <v>2820503.3115426661</v>
      </c>
      <c r="H35" s="19">
        <v>2760915.5690025375</v>
      </c>
      <c r="I35" s="19">
        <v>2714306.591630361</v>
      </c>
      <c r="J35" s="19">
        <v>2678163.3643064722</v>
      </c>
      <c r="L35" s="47">
        <v>0.3</v>
      </c>
      <c r="M35" s="19">
        <v>1614691.3550559103</v>
      </c>
      <c r="N35" s="19">
        <v>1478276.8062603034</v>
      </c>
      <c r="O35" s="19">
        <v>1372051.099854345</v>
      </c>
      <c r="P35" s="19">
        <v>1284532.5622007144</v>
      </c>
      <c r="Q35" s="19">
        <v>1209770.6578747749</v>
      </c>
      <c r="R35" s="19">
        <v>1144282.453415442</v>
      </c>
      <c r="S35" s="19">
        <v>1085852.7212616799</v>
      </c>
      <c r="T35" s="19">
        <v>1032981.6906867825</v>
      </c>
      <c r="U35" s="19">
        <v>984605.04974923562</v>
      </c>
    </row>
    <row r="36" spans="1:21" x14ac:dyDescent="0.25">
      <c r="A36" s="47">
        <v>0.4</v>
      </c>
      <c r="B36" s="19">
        <v>3547825.6273589139</v>
      </c>
      <c r="C36" s="19">
        <v>3303271.7701824135</v>
      </c>
      <c r="D36" s="19">
        <v>3131467.0554787237</v>
      </c>
      <c r="E36" s="19">
        <v>3004535.0091718803</v>
      </c>
      <c r="F36" s="19">
        <v>2907892.9797155601</v>
      </c>
      <c r="G36" s="19">
        <v>2833005.2089552768</v>
      </c>
      <c r="H36" s="19">
        <v>2774490.506554448</v>
      </c>
      <c r="I36" s="19">
        <v>2728771.2093128334</v>
      </c>
      <c r="J36" s="19">
        <v>2693374.2308543022</v>
      </c>
      <c r="L36" s="47">
        <v>0.4</v>
      </c>
      <c r="M36" s="19">
        <v>1614690.4977816376</v>
      </c>
      <c r="N36" s="19">
        <v>1479771.5613074133</v>
      </c>
      <c r="O36" s="19">
        <v>1374512.3598394759</v>
      </c>
      <c r="P36" s="19">
        <v>1287660.9607970468</v>
      </c>
      <c r="Q36" s="19">
        <v>1213376.1478014989</v>
      </c>
      <c r="R36" s="19">
        <v>1148235.5527135052</v>
      </c>
      <c r="S36" s="19">
        <v>1090061.0191453705</v>
      </c>
      <c r="T36" s="19">
        <v>1037376.990835562</v>
      </c>
      <c r="U36" s="19">
        <v>989135.85524588916</v>
      </c>
    </row>
    <row r="37" spans="1:21" x14ac:dyDescent="0.25">
      <c r="A37" s="47">
        <v>0.5</v>
      </c>
      <c r="B37" s="19">
        <v>3547821.4337567152</v>
      </c>
      <c r="C37" s="19">
        <v>3307659.0883265855</v>
      </c>
      <c r="D37" s="19">
        <v>3138847.3165003117</v>
      </c>
      <c r="E37" s="19">
        <v>3014109.5378295793</v>
      </c>
      <c r="F37" s="19">
        <v>2919151.4237609678</v>
      </c>
      <c r="G37" s="19">
        <v>2845602.8779971092</v>
      </c>
      <c r="H37" s="19">
        <v>2788179.456606695</v>
      </c>
      <c r="I37" s="19">
        <v>2743366.2042103605</v>
      </c>
      <c r="J37" s="19">
        <v>2708729.8215284622</v>
      </c>
      <c r="L37" s="47">
        <v>0.5</v>
      </c>
      <c r="M37" s="19">
        <v>1614690.9991077313</v>
      </c>
      <c r="N37" s="19">
        <v>1481269.5108294331</v>
      </c>
      <c r="O37" s="19">
        <v>1376985.8185546077</v>
      </c>
      <c r="P37" s="19">
        <v>1290811.090722006</v>
      </c>
      <c r="Q37" s="19">
        <v>1217011.9448183477</v>
      </c>
      <c r="R37" s="19">
        <v>1152227.3764742098</v>
      </c>
      <c r="S37" s="19">
        <v>1094315.8905651637</v>
      </c>
      <c r="T37" s="19">
        <v>1041825.8857630193</v>
      </c>
      <c r="U37" s="19">
        <v>993726.58627447684</v>
      </c>
    </row>
    <row r="38" spans="1:21" x14ac:dyDescent="0.25">
      <c r="A38" s="47">
        <v>0.6</v>
      </c>
      <c r="B38" s="19">
        <v>3547821.2923154444</v>
      </c>
      <c r="C38" s="19">
        <v>3312055.786692095</v>
      </c>
      <c r="D38" s="19">
        <v>3146259.7414557827</v>
      </c>
      <c r="E38" s="19">
        <v>3023736.8094350551</v>
      </c>
      <c r="F38" s="19">
        <v>2930486.0693464084</v>
      </c>
      <c r="G38" s="19">
        <v>2858297.476020229</v>
      </c>
      <c r="H38" s="19">
        <v>2801984.3973064227</v>
      </c>
      <c r="I38" s="19">
        <v>2758093.9938505031</v>
      </c>
      <c r="J38" s="19">
        <v>2724233.045468614</v>
      </c>
      <c r="L38" s="47">
        <v>0.6</v>
      </c>
      <c r="M38" s="19">
        <v>1614690.0611505157</v>
      </c>
      <c r="N38" s="19">
        <v>1482771.6380008494</v>
      </c>
      <c r="O38" s="19">
        <v>1379471.8517412886</v>
      </c>
      <c r="P38" s="19">
        <v>1293982.53047308</v>
      </c>
      <c r="Q38" s="19">
        <v>1220678.463876734</v>
      </c>
      <c r="R38" s="19">
        <v>1156258.5608461753</v>
      </c>
      <c r="S38" s="19">
        <v>1098618.0744467757</v>
      </c>
      <c r="T38" s="19">
        <v>1046329.440462395</v>
      </c>
      <c r="U38" s="19">
        <v>998378.51281116274</v>
      </c>
    </row>
    <row r="39" spans="1:21" x14ac:dyDescent="0.25">
      <c r="A39" s="47">
        <v>0.7</v>
      </c>
      <c r="B39" s="19">
        <v>3547821.6744025862</v>
      </c>
      <c r="C39" s="19">
        <v>3316464.1328610945</v>
      </c>
      <c r="D39" s="19">
        <v>3153702.3782348461</v>
      </c>
      <c r="E39" s="19">
        <v>3033418.7843419584</v>
      </c>
      <c r="F39" s="19">
        <v>2941898.0226923618</v>
      </c>
      <c r="G39" s="19">
        <v>2871090.6932369852</v>
      </c>
      <c r="H39" s="19">
        <v>2815907.0857962198</v>
      </c>
      <c r="I39" s="19">
        <v>2772956.7543238653</v>
      </c>
      <c r="J39" s="19">
        <v>2739886.8565247096</v>
      </c>
      <c r="L39" s="47">
        <v>0.7</v>
      </c>
      <c r="M39" s="19">
        <v>1614691.0145247011</v>
      </c>
      <c r="N39" s="19">
        <v>1484277.9377742035</v>
      </c>
      <c r="O39" s="19">
        <v>1381970.1646911723</v>
      </c>
      <c r="P39" s="19">
        <v>1297175.7854180501</v>
      </c>
      <c r="Q39" s="19">
        <v>1224376.0772928621</v>
      </c>
      <c r="R39" s="19">
        <v>1160329.6793419737</v>
      </c>
      <c r="S39" s="19">
        <v>1102968.3676989258</v>
      </c>
      <c r="T39" s="19">
        <v>1050888.5904504866</v>
      </c>
      <c r="U39" s="19">
        <v>1003092.8572031662</v>
      </c>
    </row>
    <row r="40" spans="1:21" x14ac:dyDescent="0.25">
      <c r="A40" s="47"/>
      <c r="B40" s="19"/>
      <c r="C40" s="19"/>
      <c r="D40" s="19"/>
      <c r="E40" s="19"/>
      <c r="F40" s="19"/>
      <c r="G40" s="19"/>
      <c r="H40" s="19"/>
      <c r="I40" s="19"/>
      <c r="J40" s="19"/>
      <c r="L40" s="47"/>
      <c r="M40" s="19"/>
      <c r="N40" s="19"/>
      <c r="O40" s="19"/>
      <c r="P40" s="19"/>
      <c r="Q40" s="19"/>
      <c r="R40" s="19"/>
      <c r="S40" s="19"/>
      <c r="T40" s="19"/>
      <c r="U40" s="19"/>
    </row>
    <row r="41" spans="1:21" x14ac:dyDescent="0.25">
      <c r="A41" s="47"/>
      <c r="B41" s="19"/>
      <c r="C41" s="19"/>
      <c r="D41" s="19"/>
      <c r="E41" s="19"/>
      <c r="F41" s="19"/>
      <c r="G41" s="19"/>
      <c r="H41" s="19"/>
      <c r="I41" s="19"/>
      <c r="J41" s="19"/>
      <c r="L41" s="47"/>
      <c r="M41" s="19"/>
      <c r="N41" s="19"/>
      <c r="O41" s="19"/>
      <c r="P41" s="19"/>
      <c r="Q41" s="19"/>
      <c r="R41" s="19"/>
      <c r="S41" s="19"/>
      <c r="T41" s="19"/>
      <c r="U41" s="19"/>
    </row>
    <row r="42" spans="1:21" x14ac:dyDescent="0.25">
      <c r="A42" s="47"/>
      <c r="B42" s="19"/>
      <c r="C42" s="19"/>
      <c r="D42" s="19"/>
      <c r="E42" s="19"/>
      <c r="F42" s="19"/>
      <c r="G42" s="19"/>
      <c r="H42" s="19"/>
      <c r="I42" s="19"/>
      <c r="J42" s="19"/>
      <c r="L42" s="47"/>
      <c r="M42" s="19"/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A43" s="45" t="s">
        <v>77</v>
      </c>
      <c r="B43" s="46">
        <f>Model!B17</f>
        <v>2.2924726289482762</v>
      </c>
      <c r="C43" s="45"/>
      <c r="D43" s="45"/>
      <c r="E43" s="45"/>
      <c r="F43" s="45"/>
      <c r="G43" s="45"/>
      <c r="H43" s="45"/>
      <c r="I43" s="45"/>
      <c r="J43" s="45"/>
      <c r="L43" s="45" t="s">
        <v>77</v>
      </c>
      <c r="M43" s="46">
        <f>Model!B18</f>
        <v>0.7044424922327297</v>
      </c>
      <c r="N43" s="45"/>
      <c r="O43" s="45"/>
      <c r="P43" s="45"/>
      <c r="Q43" s="45"/>
      <c r="R43" s="45"/>
      <c r="S43" s="45"/>
      <c r="T43" s="45"/>
      <c r="U43" s="45"/>
    </row>
    <row r="44" spans="1:21" x14ac:dyDescent="0.25">
      <c r="A44" s="47" t="s">
        <v>97</v>
      </c>
      <c r="B44" s="47">
        <v>0</v>
      </c>
      <c r="C44" s="47">
        <v>0.5</v>
      </c>
      <c r="D44" s="47">
        <v>1</v>
      </c>
      <c r="E44" s="47">
        <v>1.5</v>
      </c>
      <c r="F44" s="47">
        <v>2</v>
      </c>
      <c r="G44" s="47">
        <v>2.5</v>
      </c>
      <c r="H44" s="47">
        <v>3</v>
      </c>
      <c r="I44" s="47">
        <v>3.5</v>
      </c>
      <c r="J44" s="47">
        <v>4</v>
      </c>
      <c r="L44" s="47" t="s">
        <v>98</v>
      </c>
      <c r="M44" s="47">
        <v>0</v>
      </c>
      <c r="N44" s="47">
        <v>0.5</v>
      </c>
      <c r="O44" s="47">
        <v>1</v>
      </c>
      <c r="P44" s="47">
        <v>1.5</v>
      </c>
      <c r="Q44" s="47">
        <v>2</v>
      </c>
      <c r="R44" s="47">
        <v>2.5</v>
      </c>
      <c r="S44" s="47">
        <v>3</v>
      </c>
      <c r="T44" s="47">
        <v>3.5</v>
      </c>
      <c r="U44" s="47">
        <v>4</v>
      </c>
    </row>
    <row r="45" spans="1:21" x14ac:dyDescent="0.25">
      <c r="A45" s="48" t="s">
        <v>92</v>
      </c>
      <c r="B45" s="49">
        <v>3.2045013817870118</v>
      </c>
      <c r="C45" s="49">
        <v>2.9439729267838017</v>
      </c>
      <c r="D45" s="49">
        <v>2.7607274705274079</v>
      </c>
      <c r="E45" s="49">
        <v>2.6252143929668881</v>
      </c>
      <c r="F45" s="49">
        <v>2.5219567394945686</v>
      </c>
      <c r="G45" s="49">
        <v>2.4418911591975534</v>
      </c>
      <c r="H45" s="49">
        <v>2.3792972526145983</v>
      </c>
      <c r="I45" s="49">
        <v>2.3303701192609698</v>
      </c>
      <c r="J45" s="49">
        <v>2.2924726289482762</v>
      </c>
      <c r="L45" s="48" t="s">
        <v>92</v>
      </c>
      <c r="M45" s="49">
        <v>1.2127751458936333</v>
      </c>
      <c r="N45" s="49">
        <v>1.1009718896562983</v>
      </c>
      <c r="O45" s="49">
        <v>1.0144203096537381</v>
      </c>
      <c r="P45" s="49">
        <v>0.94352640229957485</v>
      </c>
      <c r="Q45" s="49">
        <v>0.8833154294333605</v>
      </c>
      <c r="R45" s="49">
        <v>0.83087682301304111</v>
      </c>
      <c r="S45" s="49">
        <v>0.78435943211316039</v>
      </c>
      <c r="T45" s="49">
        <v>0.74251061666433193</v>
      </c>
      <c r="U45" s="46">
        <v>0.7044424922327297</v>
      </c>
    </row>
    <row r="46" spans="1:21" x14ac:dyDescent="0.25">
      <c r="A46" s="47">
        <v>0</v>
      </c>
      <c r="B46" s="19">
        <v>3.2045046945354692</v>
      </c>
      <c r="C46" s="19">
        <v>2.9141870758963</v>
      </c>
      <c r="D46" s="19">
        <v>2.711361055626119</v>
      </c>
      <c r="E46" s="19">
        <v>2.5619975616195108</v>
      </c>
      <c r="F46" s="19">
        <v>2.4484563185563748</v>
      </c>
      <c r="G46" s="19">
        <v>2.3604810289348404</v>
      </c>
      <c r="H46" s="19">
        <v>2.2916443662966</v>
      </c>
      <c r="I46" s="19">
        <v>2.2376940881307128</v>
      </c>
      <c r="J46" s="19">
        <v>2.1957105524249516</v>
      </c>
      <c r="L46" s="47">
        <v>0</v>
      </c>
      <c r="M46" s="19">
        <v>1.2127754979448371</v>
      </c>
      <c r="N46" s="19">
        <v>1.0912299961710796</v>
      </c>
      <c r="O46" s="19">
        <v>0.9984163688262786</v>
      </c>
      <c r="P46" s="19">
        <v>0.92323866605205784</v>
      </c>
      <c r="Q46" s="19">
        <v>0.85999492153864321</v>
      </c>
      <c r="R46" s="19">
        <v>0.80537239327332766</v>
      </c>
      <c r="S46" s="19">
        <v>0.75727603636112195</v>
      </c>
      <c r="T46" s="19">
        <v>0.7142948735328527</v>
      </c>
      <c r="U46" s="19">
        <v>0.67543138361766597</v>
      </c>
    </row>
    <row r="47" spans="1:21" x14ac:dyDescent="0.25">
      <c r="A47" s="47">
        <v>0.1</v>
      </c>
      <c r="B47" s="19">
        <v>3.204502126801037</v>
      </c>
      <c r="C47" s="19">
        <v>2.9184112134557036</v>
      </c>
      <c r="D47" s="19">
        <v>2.7183241477080182</v>
      </c>
      <c r="E47" s="19">
        <v>2.5708768703213014</v>
      </c>
      <c r="F47" s="19">
        <v>2.4587454533075723</v>
      </c>
      <c r="G47" s="19">
        <v>2.3718473384606837</v>
      </c>
      <c r="H47" s="19">
        <v>2.3038545922214984</v>
      </c>
      <c r="I47" s="19">
        <v>2.2505814661718313</v>
      </c>
      <c r="J47" s="19">
        <v>2.2091477263416133</v>
      </c>
      <c r="L47" s="47">
        <v>0.1</v>
      </c>
      <c r="M47" s="19">
        <v>1.2127754516744087</v>
      </c>
      <c r="N47" s="19">
        <v>1.0926095604593806</v>
      </c>
      <c r="O47" s="19">
        <v>1.0006675268988725</v>
      </c>
      <c r="P47" s="19">
        <v>0.92607596024693262</v>
      </c>
      <c r="Q47" s="19">
        <v>0.86324030395044427</v>
      </c>
      <c r="R47" s="19">
        <v>0.80890638930915382</v>
      </c>
      <c r="S47" s="19">
        <v>0.76101417761823642</v>
      </c>
      <c r="T47" s="19">
        <v>0.71817552149574426</v>
      </c>
      <c r="U47" s="19">
        <v>0.67940843438472265</v>
      </c>
    </row>
    <row r="48" spans="1:21" x14ac:dyDescent="0.25">
      <c r="A48" s="47">
        <v>0.2</v>
      </c>
      <c r="B48" s="19">
        <v>3.2045029392103346</v>
      </c>
      <c r="C48" s="19">
        <v>2.9226456461560928</v>
      </c>
      <c r="D48" s="19">
        <v>2.7253167030107308</v>
      </c>
      <c r="E48" s="19">
        <v>2.5798059076023478</v>
      </c>
      <c r="F48" s="19">
        <v>2.4691032432694762</v>
      </c>
      <c r="G48" s="19">
        <v>2.383298571198551</v>
      </c>
      <c r="H48" s="19">
        <v>2.3161661158779969</v>
      </c>
      <c r="I48" s="19">
        <v>2.2635828689258672</v>
      </c>
      <c r="J48" s="19">
        <v>2.2227095180461047</v>
      </c>
      <c r="L48" s="47">
        <v>0.2</v>
      </c>
      <c r="M48" s="19">
        <v>1.2127755435869396</v>
      </c>
      <c r="N48" s="19">
        <v>1.0939930563745854</v>
      </c>
      <c r="O48" s="19">
        <v>1.002930182642968</v>
      </c>
      <c r="P48" s="19">
        <v>0.92893320349142761</v>
      </c>
      <c r="Q48" s="19">
        <v>0.86651373741432147</v>
      </c>
      <c r="R48" s="19">
        <v>0.81247588760934697</v>
      </c>
      <c r="S48" s="19">
        <v>0.76479469738862316</v>
      </c>
      <c r="T48" s="19">
        <v>0.72210462515876328</v>
      </c>
      <c r="U48" s="19">
        <v>0.68343943433115195</v>
      </c>
    </row>
    <row r="49" spans="1:21" x14ac:dyDescent="0.25">
      <c r="A49" s="47">
        <v>0.3</v>
      </c>
      <c r="B49" s="19">
        <v>3.2045042724449617</v>
      </c>
      <c r="C49" s="19">
        <v>2.9268904276925833</v>
      </c>
      <c r="D49" s="19">
        <v>2.732338785757134</v>
      </c>
      <c r="E49" s="19">
        <v>2.5887851686770298</v>
      </c>
      <c r="F49" s="19">
        <v>2.4795318644704278</v>
      </c>
      <c r="G49" s="19">
        <v>2.3948373489234474</v>
      </c>
      <c r="H49" s="19">
        <v>2.3285803186966145</v>
      </c>
      <c r="I49" s="19">
        <v>2.2767001467983072</v>
      </c>
      <c r="J49" s="19">
        <v>2.2363982063366521</v>
      </c>
      <c r="L49" s="47">
        <v>0.3</v>
      </c>
      <c r="M49" s="19">
        <v>1.2127754641945689</v>
      </c>
      <c r="N49" s="19">
        <v>1.0953804074630742</v>
      </c>
      <c r="O49" s="19">
        <v>1.0052044939187692</v>
      </c>
      <c r="P49" s="19">
        <v>0.93181059452221182</v>
      </c>
      <c r="Q49" s="19">
        <v>0.86981577361039131</v>
      </c>
      <c r="R49" s="19">
        <v>0.81608154520776366</v>
      </c>
      <c r="S49" s="19">
        <v>0.76861834408614249</v>
      </c>
      <c r="T49" s="19">
        <v>0.7260831119909299</v>
      </c>
      <c r="U49" s="19">
        <v>0.68752543655420961</v>
      </c>
    </row>
    <row r="50" spans="1:21" x14ac:dyDescent="0.25">
      <c r="A50" s="47">
        <v>0.4</v>
      </c>
      <c r="B50" s="19">
        <v>3.2045057691568934</v>
      </c>
      <c r="C50" s="19">
        <v>2.9311474140618898</v>
      </c>
      <c r="D50" s="19">
        <v>2.7393906834762958</v>
      </c>
      <c r="E50" s="19">
        <v>2.5978147137607217</v>
      </c>
      <c r="F50" s="19">
        <v>2.4900295909393466</v>
      </c>
      <c r="G50" s="19">
        <v>2.4064647529770169</v>
      </c>
      <c r="H50" s="19">
        <v>2.3410988515431437</v>
      </c>
      <c r="I50" s="19">
        <v>2.2899355184755215</v>
      </c>
      <c r="J50" s="19">
        <v>2.2502163056604778</v>
      </c>
      <c r="L50" s="47">
        <v>0.4</v>
      </c>
      <c r="M50" s="19">
        <v>1.2127746628841711</v>
      </c>
      <c r="N50" s="19">
        <v>1.0967728948931228</v>
      </c>
      <c r="O50" s="19">
        <v>1.0074905421076017</v>
      </c>
      <c r="P50" s="19">
        <v>0.93470825465879048</v>
      </c>
      <c r="Q50" s="19">
        <v>0.87314647663817579</v>
      </c>
      <c r="R50" s="19">
        <v>0.81972388951020758</v>
      </c>
      <c r="S50" s="19">
        <v>0.77248582909361774</v>
      </c>
      <c r="T50" s="19">
        <v>0.73011198926906673</v>
      </c>
      <c r="U50" s="19">
        <v>0.6916675776502198</v>
      </c>
    </row>
    <row r="51" spans="1:21" x14ac:dyDescent="0.25">
      <c r="A51" s="47">
        <v>0.5</v>
      </c>
      <c r="B51" s="19">
        <v>3.2045011146951592</v>
      </c>
      <c r="C51" s="19">
        <v>2.935412682110472</v>
      </c>
      <c r="D51" s="19">
        <v>2.7464723397103366</v>
      </c>
      <c r="E51" s="19">
        <v>2.6068968551553851</v>
      </c>
      <c r="F51" s="19">
        <v>2.5005993681426437</v>
      </c>
      <c r="G51" s="19">
        <v>2.4181820639967073</v>
      </c>
      <c r="H51" s="19">
        <v>2.3537233273613687</v>
      </c>
      <c r="I51" s="19">
        <v>2.3032908671996877</v>
      </c>
      <c r="J51" s="19">
        <v>2.264166302585612</v>
      </c>
      <c r="L51" s="47">
        <v>0.5</v>
      </c>
      <c r="M51" s="19">
        <v>1.2127751314831041</v>
      </c>
      <c r="N51" s="19">
        <v>1.0981685125883842</v>
      </c>
      <c r="O51" s="19">
        <v>1.009788394162122</v>
      </c>
      <c r="P51" s="19">
        <v>0.9376268895440717</v>
      </c>
      <c r="Q51" s="19">
        <v>0.8765063914308252</v>
      </c>
      <c r="R51" s="19">
        <v>0.8234034798113391</v>
      </c>
      <c r="S51" s="19">
        <v>0.77639801033622824</v>
      </c>
      <c r="T51" s="19">
        <v>0.73419219233008903</v>
      </c>
      <c r="U51" s="19">
        <v>0.69586698068537356</v>
      </c>
    </row>
    <row r="52" spans="1:21" x14ac:dyDescent="0.25">
      <c r="A52" s="47">
        <v>0.6</v>
      </c>
      <c r="B52" s="19">
        <v>3.2045009577100831</v>
      </c>
      <c r="C52" s="19">
        <v>2.9396870188896354</v>
      </c>
      <c r="D52" s="19">
        <v>2.7535853297629092</v>
      </c>
      <c r="E52" s="19">
        <v>2.6160293893650421</v>
      </c>
      <c r="F52" s="19">
        <v>2.5112413950204839</v>
      </c>
      <c r="G52" s="19">
        <v>2.4299903249091881</v>
      </c>
      <c r="H52" s="19">
        <v>2.3664555947727113</v>
      </c>
      <c r="I52" s="19">
        <v>2.3167684171145657</v>
      </c>
      <c r="J52" s="19">
        <v>2.278250848281933</v>
      </c>
      <c r="L52" s="47">
        <v>0.6</v>
      </c>
      <c r="M52" s="19">
        <v>1.2127742547568621</v>
      </c>
      <c r="N52" s="19">
        <v>1.0995681769191858</v>
      </c>
      <c r="O52" s="19">
        <v>1.0120984089956253</v>
      </c>
      <c r="P52" s="19">
        <v>0.94056610908379401</v>
      </c>
      <c r="Q52" s="19">
        <v>0.87989591932327738</v>
      </c>
      <c r="R52" s="19">
        <v>0.82712093511076379</v>
      </c>
      <c r="S52" s="19">
        <v>0.78035561763798889</v>
      </c>
      <c r="T52" s="19">
        <v>0.73832476120827339</v>
      </c>
      <c r="U52" s="19">
        <v>0.7001248857628346</v>
      </c>
    </row>
    <row r="53" spans="1:21" x14ac:dyDescent="0.25">
      <c r="A53" s="47">
        <v>0.7</v>
      </c>
      <c r="B53" s="19">
        <v>3.2045013817870118</v>
      </c>
      <c r="C53" s="19">
        <v>2.9439729267838017</v>
      </c>
      <c r="D53" s="19">
        <v>2.7607274705274079</v>
      </c>
      <c r="E53" s="19">
        <v>2.6252143929668881</v>
      </c>
      <c r="F53" s="19">
        <v>2.5219567394945686</v>
      </c>
      <c r="G53" s="19">
        <v>2.4418911591975534</v>
      </c>
      <c r="H53" s="19">
        <v>2.3792972526145983</v>
      </c>
      <c r="I53" s="19">
        <v>2.3303701192609698</v>
      </c>
      <c r="J53" s="19">
        <v>2.2924726289482762</v>
      </c>
      <c r="L53" s="47">
        <v>0.7</v>
      </c>
      <c r="M53" s="19">
        <v>1.2127751458936333</v>
      </c>
      <c r="N53" s="19">
        <v>1.1009718896562983</v>
      </c>
      <c r="O53" s="19">
        <v>1.0144203096537381</v>
      </c>
      <c r="P53" s="19">
        <v>0.94352640229957485</v>
      </c>
      <c r="Q53" s="19">
        <v>0.8833154294333605</v>
      </c>
      <c r="R53" s="19">
        <v>0.83087682301304111</v>
      </c>
      <c r="S53" s="19">
        <v>0.78435943211316039</v>
      </c>
      <c r="T53" s="19">
        <v>0.74251061666433193</v>
      </c>
      <c r="U53" s="19">
        <v>0.7044424922327297</v>
      </c>
    </row>
    <row r="54" spans="1:21" x14ac:dyDescent="0.25">
      <c r="A54" s="47"/>
      <c r="B54" s="19"/>
      <c r="C54" s="19"/>
      <c r="D54" s="19"/>
      <c r="E54" s="19"/>
      <c r="F54" s="19"/>
      <c r="G54" s="19"/>
      <c r="H54" s="19"/>
      <c r="I54" s="19"/>
      <c r="J54" s="19"/>
      <c r="L54" s="47"/>
      <c r="M54" s="19"/>
      <c r="N54" s="19"/>
      <c r="O54" s="19"/>
      <c r="P54" s="19"/>
      <c r="Q54" s="19"/>
      <c r="R54" s="19"/>
      <c r="S54" s="19"/>
      <c r="T54" s="19"/>
      <c r="U54" s="19"/>
    </row>
    <row r="55" spans="1:21" x14ac:dyDescent="0.25">
      <c r="A55" s="47"/>
      <c r="B55" s="19"/>
      <c r="C55" s="19"/>
      <c r="D55" s="19"/>
      <c r="E55" s="19"/>
      <c r="F55" s="19"/>
      <c r="G55" s="19"/>
      <c r="H55" s="19"/>
      <c r="I55" s="19"/>
      <c r="J55" s="19"/>
      <c r="L55" s="47"/>
      <c r="M55" s="19"/>
      <c r="N55" s="19"/>
      <c r="O55" s="19"/>
      <c r="P55" s="19"/>
      <c r="Q55" s="19"/>
      <c r="R55" s="19"/>
      <c r="S55" s="19"/>
      <c r="T55" s="19"/>
      <c r="U55" s="19"/>
    </row>
    <row r="56" spans="1:21" x14ac:dyDescent="0.25">
      <c r="A56" s="47"/>
      <c r="B56" s="19"/>
      <c r="C56" s="19"/>
      <c r="D56" s="19"/>
      <c r="E56" s="19"/>
      <c r="F56" s="19"/>
      <c r="G56" s="19"/>
      <c r="H56" s="19"/>
      <c r="I56" s="19"/>
      <c r="J56" s="19"/>
      <c r="L56" s="47"/>
      <c r="M56" s="19"/>
      <c r="N56" s="19"/>
      <c r="O56" s="19"/>
      <c r="P56" s="19"/>
      <c r="Q56" s="19"/>
      <c r="R56" s="19"/>
      <c r="S56" s="19"/>
      <c r="T56" s="19"/>
      <c r="U56" s="19"/>
    </row>
    <row r="58" spans="1:21" ht="24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opypaste2">
                <anchor moveWithCells="1">
                  <from>
                    <xdr:col>23</xdr:col>
                    <xdr:colOff>704850</xdr:colOff>
                    <xdr:row>29</xdr:row>
                    <xdr:rowOff>57150</xdr:rowOff>
                  </from>
                  <to>
                    <xdr:col>24</xdr:col>
                    <xdr:colOff>647700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pypaste4">
                <anchor moveWithCells="1">
                  <from>
                    <xdr:col>23</xdr:col>
                    <xdr:colOff>704850</xdr:colOff>
                    <xdr:row>37</xdr:row>
                    <xdr:rowOff>57150</xdr:rowOff>
                  </from>
                  <to>
                    <xdr:col>24</xdr:col>
                    <xdr:colOff>647700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opypaste8">
                <anchor moveWithCells="1">
                  <from>
                    <xdr:col>23</xdr:col>
                    <xdr:colOff>676275</xdr:colOff>
                    <xdr:row>53</xdr:row>
                    <xdr:rowOff>38100</xdr:rowOff>
                  </from>
                  <to>
                    <xdr:col>24</xdr:col>
                    <xdr:colOff>619125</xdr:colOff>
                    <xdr:row>56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pypaste3">
                <anchor moveWithCells="1">
                  <from>
                    <xdr:col>23</xdr:col>
                    <xdr:colOff>685800</xdr:colOff>
                    <xdr:row>33</xdr:row>
                    <xdr:rowOff>28575</xdr:rowOff>
                  </from>
                  <to>
                    <xdr:col>24</xdr:col>
                    <xdr:colOff>628650</xdr:colOff>
                    <xdr:row>36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opypaste7">
                <anchor moveWithCells="1">
                  <from>
                    <xdr:col>23</xdr:col>
                    <xdr:colOff>676275</xdr:colOff>
                    <xdr:row>49</xdr:row>
                    <xdr:rowOff>76200</xdr:rowOff>
                  </from>
                  <to>
                    <xdr:col>24</xdr:col>
                    <xdr:colOff>619125</xdr:colOff>
                    <xdr:row>52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copypaste1">
                <anchor moveWithCells="1">
                  <from>
                    <xdr:col>23</xdr:col>
                    <xdr:colOff>695325</xdr:colOff>
                    <xdr:row>25</xdr:row>
                    <xdr:rowOff>114300</xdr:rowOff>
                  </from>
                  <to>
                    <xdr:col>24</xdr:col>
                    <xdr:colOff>628650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copypaste6">
                <anchor moveWithCells="1">
                  <from>
                    <xdr:col>23</xdr:col>
                    <xdr:colOff>666750</xdr:colOff>
                    <xdr:row>45</xdr:row>
                    <xdr:rowOff>76200</xdr:rowOff>
                  </from>
                  <to>
                    <xdr:col>24</xdr:col>
                    <xdr:colOff>600075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copypaste5">
                <anchor moveWithCells="1">
                  <from>
                    <xdr:col>23</xdr:col>
                    <xdr:colOff>695325</xdr:colOff>
                    <xdr:row>41</xdr:row>
                    <xdr:rowOff>85725</xdr:rowOff>
                  </from>
                  <to>
                    <xdr:col>24</xdr:col>
                    <xdr:colOff>638175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Button 11">
              <controlPr defaultSize="0" print="0" autoFill="0" autoPict="0" macro="[0]!_xludf.clear">
                <anchor moveWithCells="1" sizeWithCells="1">
                  <from>
                    <xdr:col>23</xdr:col>
                    <xdr:colOff>390525</xdr:colOff>
                    <xdr:row>18</xdr:row>
                    <xdr:rowOff>85725</xdr:rowOff>
                  </from>
                  <to>
                    <xdr:col>26</xdr:col>
                    <xdr:colOff>657225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A955-EF04-452D-80D9-AC255BC4BCF9}">
  <sheetPr codeName="Sheet3"/>
  <dimension ref="A2:AG52"/>
  <sheetViews>
    <sheetView workbookViewId="0">
      <selection activeCell="A62" sqref="A1:AG62"/>
    </sheetView>
  </sheetViews>
  <sheetFormatPr defaultColWidth="9.140625"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f>Output!B4/1000000000</f>
        <v>482.94387844120985</v>
      </c>
      <c r="C3">
        <f>Output!C4/1000000000</f>
        <v>463.29949696816823</v>
      </c>
      <c r="D3">
        <f>Output!D4/1000000000</f>
        <v>446.40808185204958</v>
      </c>
      <c r="E3">
        <f>Output!E4/1000000000</f>
        <v>431.54405380605266</v>
      </c>
      <c r="F3">
        <f>Output!F4/1000000000</f>
        <v>418.26262257633999</v>
      </c>
      <c r="G3">
        <f>Output!G4/1000000000</f>
        <v>406.26716464301927</v>
      </c>
      <c r="H3">
        <f>Output!H4/1000000000</f>
        <v>395.34795671866385</v>
      </c>
      <c r="I3">
        <f>Output!I4/1000000000</f>
        <v>385.35018424516306</v>
      </c>
      <c r="J3">
        <f>Output!J4/1000000000</f>
        <v>376.15572456524791</v>
      </c>
      <c r="K3" t="s">
        <v>105</v>
      </c>
      <c r="L3">
        <v>0</v>
      </c>
      <c r="M3">
        <f>Output!M4/1000000000</f>
        <v>288.79737525911736</v>
      </c>
      <c r="N3">
        <f>Output!N4/1000000000</f>
        <v>288.2600841701265</v>
      </c>
      <c r="O3">
        <f>Output!O4/1000000000</f>
        <v>287.17120642443751</v>
      </c>
      <c r="P3">
        <f>Output!P4/1000000000</f>
        <v>285.93167955799584</v>
      </c>
      <c r="Q3">
        <f>Output!Q4/1000000000</f>
        <v>284.70897401444682</v>
      </c>
      <c r="R3">
        <f>Output!R4/1000000000</f>
        <v>283.57786855675926</v>
      </c>
      <c r="S3">
        <f>Output!S4/1000000000</f>
        <v>282.57169100717601</v>
      </c>
      <c r="T3">
        <f>Output!T4/1000000000</f>
        <v>281.70378051874621</v>
      </c>
      <c r="U3">
        <f>Output!U4/1000000000</f>
        <v>280.97754998176674</v>
      </c>
      <c r="V3" t="s">
        <v>105</v>
      </c>
      <c r="W3">
        <v>0</v>
      </c>
      <c r="X3">
        <f>Output!X4/1000000000</f>
        <v>194.14650318209249</v>
      </c>
      <c r="Y3">
        <f>Output!Y4/1000000000</f>
        <v>175.03941279804172</v>
      </c>
      <c r="Z3">
        <f>Output!Z4/1000000000</f>
        <v>159.23687542761209</v>
      </c>
      <c r="AA3">
        <f>Output!AA4/1000000000</f>
        <v>145.61237424805682</v>
      </c>
      <c r="AB3">
        <f>Output!AB4/1000000000</f>
        <v>133.55364856189308</v>
      </c>
      <c r="AC3">
        <f>Output!AC4/1000000000</f>
        <v>122.68929608626001</v>
      </c>
      <c r="AD3">
        <f>Output!AD4/1000000000</f>
        <v>112.77626571148787</v>
      </c>
      <c r="AE3">
        <f>Output!AE4/1000000000</f>
        <v>103.64640372641685</v>
      </c>
      <c r="AF3">
        <f>Output!AF4/1000000000</f>
        <v>95.178174583481237</v>
      </c>
      <c r="AG3" t="s">
        <v>105</v>
      </c>
    </row>
    <row r="4" spans="1:33" x14ac:dyDescent="0.25">
      <c r="A4">
        <v>0.1</v>
      </c>
      <c r="B4">
        <f>Output!B5/1000000000</f>
        <v>482.94387844128039</v>
      </c>
      <c r="C4">
        <f>Output!C5/1000000000</f>
        <v>463.58384714996419</v>
      </c>
      <c r="D4">
        <f>Output!D5/1000000000</f>
        <v>446.92844109061411</v>
      </c>
      <c r="E4">
        <f>Output!E5/1000000000</f>
        <v>432.26654135681497</v>
      </c>
      <c r="F4">
        <f>Output!F5/1000000000</f>
        <v>419.16188232061842</v>
      </c>
      <c r="G4">
        <f>Output!G5/1000000000</f>
        <v>407.32334621299196</v>
      </c>
      <c r="H4">
        <f>Output!H5/1000000000</f>
        <v>396.54499656702882</v>
      </c>
      <c r="I4">
        <f>Output!I5/1000000000</f>
        <v>386.67474608957536</v>
      </c>
      <c r="J4">
        <f>Output!J5/1000000000</f>
        <v>377.59650601525755</v>
      </c>
      <c r="K4" t="s">
        <v>105</v>
      </c>
      <c r="L4">
        <v>0.1</v>
      </c>
      <c r="M4">
        <f>Output!M5/1000000000</f>
        <v>288.79737525918142</v>
      </c>
      <c r="N4">
        <f>Output!N5/1000000000</f>
        <v>288.54997804317412</v>
      </c>
      <c r="O4">
        <f>Output!O5/1000000000</f>
        <v>287.70745735754195</v>
      </c>
      <c r="P4">
        <f>Output!P5/1000000000</f>
        <v>286.68077924900746</v>
      </c>
      <c r="Q4">
        <f>Output!Q5/1000000000</f>
        <v>285.64433598171257</v>
      </c>
      <c r="R4">
        <f>Output!R5/1000000000</f>
        <v>284.67785783271819</v>
      </c>
      <c r="S4">
        <f>Output!S5/1000000000</f>
        <v>283.8182714821084</v>
      </c>
      <c r="T4">
        <f>Output!T5/1000000000</f>
        <v>283.08170342627284</v>
      </c>
      <c r="U4">
        <f>Output!U5/1000000000</f>
        <v>282.47365940167509</v>
      </c>
      <c r="V4" t="s">
        <v>105</v>
      </c>
      <c r="W4">
        <v>0.1</v>
      </c>
      <c r="X4">
        <f>Output!X5/1000000000</f>
        <v>194.14650318209902</v>
      </c>
      <c r="Y4">
        <f>Output!Y5/1000000000</f>
        <v>175.03386910679004</v>
      </c>
      <c r="Z4">
        <f>Output!Z5/1000000000</f>
        <v>159.22098373307219</v>
      </c>
      <c r="AA4">
        <f>Output!AA5/1000000000</f>
        <v>145.58576210780745</v>
      </c>
      <c r="AB4">
        <f>Output!AB5/1000000000</f>
        <v>133.51754633890582</v>
      </c>
      <c r="AC4">
        <f>Output!AC5/1000000000</f>
        <v>122.64548838027378</v>
      </c>
      <c r="AD4">
        <f>Output!AD5/1000000000</f>
        <v>112.72672508492039</v>
      </c>
      <c r="AE4">
        <f>Output!AE5/1000000000</f>
        <v>103.59304266330255</v>
      </c>
      <c r="AF4">
        <f>Output!AF5/1000000000</f>
        <v>95.122846613582453</v>
      </c>
      <c r="AG4" t="s">
        <v>105</v>
      </c>
    </row>
    <row r="5" spans="1:33" x14ac:dyDescent="0.25">
      <c r="A5">
        <v>0.2</v>
      </c>
      <c r="B5">
        <f>Output!B6/1000000000</f>
        <v>482.94387844125538</v>
      </c>
      <c r="C5">
        <f>Output!C6/1000000000</f>
        <v>463.86849107058828</v>
      </c>
      <c r="D5">
        <f>Output!D6/1000000000</f>
        <v>447.44974861726467</v>
      </c>
      <c r="E5">
        <f>Output!E6/1000000000</f>
        <v>432.99080013701075</v>
      </c>
      <c r="F5">
        <f>Output!F6/1000000000</f>
        <v>420.06381025006471</v>
      </c>
      <c r="G5">
        <f>Output!G6/1000000000</f>
        <v>408.38311629616828</v>
      </c>
      <c r="H5">
        <f>Output!H6/1000000000</f>
        <v>397.74653992119738</v>
      </c>
      <c r="I5">
        <f>Output!I6/1000000000</f>
        <v>388.00470431873453</v>
      </c>
      <c r="J5">
        <f>Output!J6/1000000000</f>
        <v>379.04354473156008</v>
      </c>
      <c r="K5" t="s">
        <v>105</v>
      </c>
      <c r="L5">
        <v>0.2</v>
      </c>
      <c r="M5">
        <f>Output!M6/1000000000</f>
        <v>288.7973752591696</v>
      </c>
      <c r="N5">
        <f>Output!N6/1000000000</f>
        <v>288.84043900834746</v>
      </c>
      <c r="O5">
        <f>Output!O6/1000000000</f>
        <v>288.24555853029091</v>
      </c>
      <c r="P5">
        <f>Output!P6/1000000000</f>
        <v>287.43335712457701</v>
      </c>
      <c r="Q5">
        <f>Output!Q6/1000000000</f>
        <v>286.58495889578774</v>
      </c>
      <c r="R5">
        <f>Output!R6/1000000000</f>
        <v>285.78493301919195</v>
      </c>
      <c r="S5">
        <f>Output!S6/1000000000</f>
        <v>285.07378680975421</v>
      </c>
      <c r="T5">
        <f>Output!T6/1000000000</f>
        <v>284.47034412956248</v>
      </c>
      <c r="U5">
        <f>Output!U6/1000000000</f>
        <v>283.98220171098029</v>
      </c>
      <c r="V5" t="s">
        <v>105</v>
      </c>
      <c r="W5">
        <v>0.2</v>
      </c>
      <c r="X5">
        <f>Output!X6/1000000000</f>
        <v>194.14650318208578</v>
      </c>
      <c r="Y5">
        <f>Output!Y6/1000000000</f>
        <v>175.02805206224076</v>
      </c>
      <c r="Z5">
        <f>Output!Z6/1000000000</f>
        <v>159.20419008697377</v>
      </c>
      <c r="AA5">
        <f>Output!AA6/1000000000</f>
        <v>145.55744301243368</v>
      </c>
      <c r="AB5">
        <f>Output!AB6/1000000000</f>
        <v>133.47885135427694</v>
      </c>
      <c r="AC5">
        <f>Output!AC6/1000000000</f>
        <v>122.59818327697633</v>
      </c>
      <c r="AD5">
        <f>Output!AD6/1000000000</f>
        <v>112.67275311144316</v>
      </c>
      <c r="AE5">
        <f>Output!AE6/1000000000</f>
        <v>103.53436018917198</v>
      </c>
      <c r="AF5">
        <f>Output!AF6/1000000000</f>
        <v>95.06134302057977</v>
      </c>
      <c r="AG5" t="s">
        <v>105</v>
      </c>
    </row>
    <row r="6" spans="1:33" x14ac:dyDescent="0.25">
      <c r="A6">
        <v>0.3</v>
      </c>
      <c r="B6">
        <f>Output!B7/1000000000</f>
        <v>482.94387844123071</v>
      </c>
      <c r="C6">
        <f>Output!C7/1000000000</f>
        <v>464.15342950311975</v>
      </c>
      <c r="D6">
        <f>Output!D7/1000000000</f>
        <v>447.97200890222865</v>
      </c>
      <c r="E6">
        <f>Output!E7/1000000000</f>
        <v>433.71684154706958</v>
      </c>
      <c r="F6">
        <f>Output!F7/1000000000</f>
        <v>420.96842745499049</v>
      </c>
      <c r="G6">
        <f>Output!G7/1000000000</f>
        <v>409.44650784568893</v>
      </c>
      <c r="H6">
        <f>Output!H7/1000000000</f>
        <v>398.95263323769825</v>
      </c>
      <c r="I6">
        <f>Output!I7/1000000000</f>
        <v>389.34012008931199</v>
      </c>
      <c r="J6">
        <f>Output!J7/1000000000</f>
        <v>380.49691740959241</v>
      </c>
      <c r="K6" t="s">
        <v>105</v>
      </c>
      <c r="L6">
        <v>0.3</v>
      </c>
      <c r="M6">
        <f>Output!M7/1000000000</f>
        <v>288.79737525913328</v>
      </c>
      <c r="N6">
        <f>Output!N7/1000000000</f>
        <v>289.1314693347133</v>
      </c>
      <c r="O6">
        <f>Output!O7/1000000000</f>
        <v>288.78552225569445</v>
      </c>
      <c r="P6">
        <f>Output!P7/1000000000</f>
        <v>288.18944751390791</v>
      </c>
      <c r="Q6">
        <f>Output!Q7/1000000000</f>
        <v>287.53092284515469</v>
      </c>
      <c r="R6">
        <f>Output!R7/1000000000</f>
        <v>286.89921371391512</v>
      </c>
      <c r="S6">
        <f>Output!S7/1000000000</f>
        <v>286.33837508626925</v>
      </c>
      <c r="T6">
        <f>Output!T7/1000000000</f>
        <v>285.86988698222433</v>
      </c>
      <c r="U6">
        <f>Output!U7/1000000000</f>
        <v>285.50341005737266</v>
      </c>
      <c r="V6" t="s">
        <v>105</v>
      </c>
      <c r="W6">
        <v>0.3</v>
      </c>
      <c r="X6">
        <f>Output!X7/1000000000</f>
        <v>194.14650318209738</v>
      </c>
      <c r="Y6">
        <f>Output!Y7/1000000000</f>
        <v>175.02196016840642</v>
      </c>
      <c r="Z6">
        <f>Output!Z7/1000000000</f>
        <v>159.18648664653415</v>
      </c>
      <c r="AA6">
        <f>Output!AA7/1000000000</f>
        <v>145.52739403316173</v>
      </c>
      <c r="AB6">
        <f>Output!AB7/1000000000</f>
        <v>133.43750460983583</v>
      </c>
      <c r="AC6">
        <f>Output!AC7/1000000000</f>
        <v>122.54729413177381</v>
      </c>
      <c r="AD6">
        <f>Output!AD7/1000000000</f>
        <v>112.61425815142898</v>
      </c>
      <c r="AE6">
        <f>Output!AE7/1000000000</f>
        <v>103.47023310708771</v>
      </c>
      <c r="AF6">
        <f>Output!AF7/1000000000</f>
        <v>94.993507352219709</v>
      </c>
      <c r="AG6" t="s">
        <v>105</v>
      </c>
    </row>
    <row r="7" spans="1:33" x14ac:dyDescent="0.25">
      <c r="A7">
        <v>0.4</v>
      </c>
      <c r="B7">
        <f>Output!B8/1000000000</f>
        <v>482.94387844124208</v>
      </c>
      <c r="C7">
        <f>Output!C8/1000000000</f>
        <v>464.43866322379603</v>
      </c>
      <c r="D7">
        <f>Output!D8/1000000000</f>
        <v>448.49522644974996</v>
      </c>
      <c r="E7">
        <f>Output!E8/1000000000</f>
        <v>434.44467710605511</v>
      </c>
      <c r="F7">
        <f>Output!F8/1000000000</f>
        <v>421.87575529573724</v>
      </c>
      <c r="G7">
        <f>Output!G8/1000000000</f>
        <v>410.51355430525734</v>
      </c>
      <c r="H7">
        <f>Output!H8/1000000000</f>
        <v>400.16332375056459</v>
      </c>
      <c r="I7">
        <f>Output!I8/1000000000</f>
        <v>390.68105568310307</v>
      </c>
      <c r="J7">
        <f>Output!J8/1000000000</f>
        <v>381.95670227113084</v>
      </c>
      <c r="K7" t="s">
        <v>105</v>
      </c>
      <c r="L7">
        <v>0.4</v>
      </c>
      <c r="M7">
        <f>Output!M8/1000000000</f>
        <v>288.79737525906734</v>
      </c>
      <c r="N7">
        <f>Output!N8/1000000000</f>
        <v>289.4230791108775</v>
      </c>
      <c r="O7">
        <f>Output!O8/1000000000</f>
        <v>289.32736251324957</v>
      </c>
      <c r="P7">
        <f>Output!P8/1000000000</f>
        <v>288.94908075896757</v>
      </c>
      <c r="Q7">
        <f>Output!Q8/1000000000</f>
        <v>288.48226150674577</v>
      </c>
      <c r="R7">
        <f>Output!R8/1000000000</f>
        <v>288.02079976136326</v>
      </c>
      <c r="S7">
        <f>Output!S8/1000000000</f>
        <v>287.612181007245</v>
      </c>
      <c r="T7">
        <f>Output!T8/1000000000</f>
        <v>287.28052652146334</v>
      </c>
      <c r="U7">
        <f>Output!U8/1000000000</f>
        <v>287.03752685405772</v>
      </c>
      <c r="V7" t="s">
        <v>105</v>
      </c>
      <c r="W7">
        <v>0.4</v>
      </c>
      <c r="X7">
        <f>Output!X8/1000000000</f>
        <v>194.14650318217474</v>
      </c>
      <c r="Y7">
        <f>Output!Y8/1000000000</f>
        <v>175.01558411291853</v>
      </c>
      <c r="Z7">
        <f>Output!Z8/1000000000</f>
        <v>159.16786393650037</v>
      </c>
      <c r="AA7">
        <f>Output!AA8/1000000000</f>
        <v>145.49559634708751</v>
      </c>
      <c r="AB7">
        <f>Output!AB8/1000000000</f>
        <v>133.39349378899146</v>
      </c>
      <c r="AC7">
        <f>Output!AC8/1000000000</f>
        <v>122.49275454389408</v>
      </c>
      <c r="AD7">
        <f>Output!AD8/1000000000</f>
        <v>112.55114274331956</v>
      </c>
      <c r="AE7">
        <f>Output!AE8/1000000000</f>
        <v>103.40052916163975</v>
      </c>
      <c r="AF7">
        <f>Output!AF8/1000000000</f>
        <v>94.919175417073092</v>
      </c>
      <c r="AG7" t="s">
        <v>105</v>
      </c>
    </row>
    <row r="8" spans="1:33" x14ac:dyDescent="0.25">
      <c r="A8">
        <v>0.5</v>
      </c>
      <c r="B8">
        <f>Output!B9/1000000000</f>
        <v>482.94387844132262</v>
      </c>
      <c r="C8">
        <f>Output!C9/1000000000</f>
        <v>464.72419301249806</v>
      </c>
      <c r="D8">
        <f>Output!D9/1000000000</f>
        <v>449.01940579844859</v>
      </c>
      <c r="E8">
        <f>Output!E9/1000000000</f>
        <v>435.17431845326814</v>
      </c>
      <c r="F8">
        <f>Output!F9/1000000000</f>
        <v>422.78581540712264</v>
      </c>
      <c r="G8">
        <f>Output!G9/1000000000</f>
        <v>411.58428961911085</v>
      </c>
      <c r="H8">
        <f>Output!H9/1000000000</f>
        <v>401.37865948921524</v>
      </c>
      <c r="I8">
        <f>Output!I9/1000000000</f>
        <v>392.02757453547878</v>
      </c>
      <c r="J8">
        <f>Output!J9/1000000000</f>
        <v>383.42297910602753</v>
      </c>
      <c r="K8" t="s">
        <v>105</v>
      </c>
      <c r="L8">
        <v>0.5</v>
      </c>
      <c r="M8">
        <f>Output!M9/1000000000</f>
        <v>288.79737525918461</v>
      </c>
      <c r="N8">
        <f>Output!N9/1000000000</f>
        <v>289.71525427727232</v>
      </c>
      <c r="O8">
        <f>Output!O9/1000000000</f>
        <v>289.87109095756171</v>
      </c>
      <c r="P8">
        <f>Output!P9/1000000000</f>
        <v>289.71231063796364</v>
      </c>
      <c r="Q8">
        <f>Output!Q9/1000000000</f>
        <v>289.43906589654421</v>
      </c>
      <c r="R8">
        <f>Output!R9/1000000000</f>
        <v>289.14979542700911</v>
      </c>
      <c r="S8">
        <f>Output!S9/1000000000</f>
        <v>288.89535180298697</v>
      </c>
      <c r="T8">
        <f>Output!T9/1000000000</f>
        <v>288.70245524842261</v>
      </c>
      <c r="U8">
        <f>Output!U9/1000000000</f>
        <v>288.58479896243131</v>
      </c>
      <c r="V8" t="s">
        <v>105</v>
      </c>
      <c r="W8">
        <v>0.5</v>
      </c>
      <c r="X8">
        <f>Output!X9/1000000000</f>
        <v>194.14650318213796</v>
      </c>
      <c r="Y8">
        <f>Output!Y9/1000000000</f>
        <v>175.00893873522568</v>
      </c>
      <c r="Z8">
        <f>Output!Z9/1000000000</f>
        <v>159.14831484088691</v>
      </c>
      <c r="AA8">
        <f>Output!AA9/1000000000</f>
        <v>145.4620078153045</v>
      </c>
      <c r="AB8">
        <f>Output!AB9/1000000000</f>
        <v>133.34674951057843</v>
      </c>
      <c r="AC8">
        <f>Output!AC9/1000000000</f>
        <v>122.43449419210177</v>
      </c>
      <c r="AD8">
        <f>Output!AD9/1000000000</f>
        <v>112.48330768622826</v>
      </c>
      <c r="AE8">
        <f>Output!AE9/1000000000</f>
        <v>103.32511928705613</v>
      </c>
      <c r="AF8">
        <f>Output!AF9/1000000000</f>
        <v>94.838180143596176</v>
      </c>
      <c r="AG8" t="s">
        <v>105</v>
      </c>
    </row>
    <row r="9" spans="1:33" x14ac:dyDescent="0.25">
      <c r="A9">
        <v>0.6</v>
      </c>
      <c r="B9">
        <f>Output!B10/1000000000</f>
        <v>482.94387844137168</v>
      </c>
      <c r="C9">
        <f>Output!C10/1000000000</f>
        <v>465.01001965211083</v>
      </c>
      <c r="D9">
        <f>Output!D10/1000000000</f>
        <v>449.5445515216216</v>
      </c>
      <c r="E9">
        <f>Output!E10/1000000000</f>
        <v>435.90577735024794</v>
      </c>
      <c r="F9">
        <f>Output!F10/1000000000</f>
        <v>423.69862970355064</v>
      </c>
      <c r="G9">
        <f>Output!G10/1000000000</f>
        <v>412.6587482423401</v>
      </c>
      <c r="H9">
        <f>Output!H10/1000000000</f>
        <v>402.59868929691248</v>
      </c>
      <c r="I9">
        <f>Output!I10/1000000000</f>
        <v>393.37974126476115</v>
      </c>
      <c r="J9">
        <f>Output!J10/1000000000</f>
        <v>384.89582931540599</v>
      </c>
      <c r="K9" t="s">
        <v>105</v>
      </c>
      <c r="L9">
        <v>0.6</v>
      </c>
      <c r="M9">
        <f>Output!M10/1000000000</f>
        <v>288.79737525918415</v>
      </c>
      <c r="N9">
        <f>Output!N10/1000000000</f>
        <v>290.00800050785676</v>
      </c>
      <c r="O9">
        <f>Output!O10/1000000000</f>
        <v>290.41673134377919</v>
      </c>
      <c r="P9">
        <f>Output!P10/1000000000</f>
        <v>290.47914539181266</v>
      </c>
      <c r="Q9">
        <f>Output!Q10/1000000000</f>
        <v>290.40139507710666</v>
      </c>
      <c r="R9">
        <f>Output!R10/1000000000</f>
        <v>290.28630360520197</v>
      </c>
      <c r="S9">
        <f>Output!S10/1000000000</f>
        <v>290.18804059613086</v>
      </c>
      <c r="T9">
        <f>Output!T10/1000000000</f>
        <v>290.13587572523068</v>
      </c>
      <c r="U9">
        <f>Output!U10/1000000000</f>
        <v>290.14548198735474</v>
      </c>
      <c r="V9" t="s">
        <v>105</v>
      </c>
      <c r="W9">
        <v>0.6</v>
      </c>
      <c r="X9">
        <f>Output!X10/1000000000</f>
        <v>194.14650318218756</v>
      </c>
      <c r="Y9">
        <f>Output!Y10/1000000000</f>
        <v>175.00201914425406</v>
      </c>
      <c r="Z9">
        <f>Output!Z10/1000000000</f>
        <v>159.12782017784241</v>
      </c>
      <c r="AA9">
        <f>Output!AA10/1000000000</f>
        <v>145.42663195843525</v>
      </c>
      <c r="AB9">
        <f>Output!AB10/1000000000</f>
        <v>133.29723462644401</v>
      </c>
      <c r="AC9">
        <f>Output!AC10/1000000000</f>
        <v>122.37244463713812</v>
      </c>
      <c r="AD9">
        <f>Output!AD10/1000000000</f>
        <v>112.41064870078161</v>
      </c>
      <c r="AE9">
        <f>Output!AE10/1000000000</f>
        <v>103.24386553953053</v>
      </c>
      <c r="AF9">
        <f>Output!AF10/1000000000</f>
        <v>94.750347328051234</v>
      </c>
      <c r="AG9" t="s">
        <v>105</v>
      </c>
    </row>
    <row r="10" spans="1:33" x14ac:dyDescent="0.25">
      <c r="A10">
        <v>0.7</v>
      </c>
      <c r="B10">
        <f>Output!B11/1000000000</f>
        <v>482.94387844132132</v>
      </c>
      <c r="C10">
        <f>Output!C11/1000000000</f>
        <v>465.29614392890318</v>
      </c>
      <c r="D10">
        <f>Output!D11/1000000000</f>
        <v>450.0706682277937</v>
      </c>
      <c r="E10">
        <f>Output!E11/1000000000</f>
        <v>436.63906568219238</v>
      </c>
      <c r="F10">
        <f>Output!F11/1000000000</f>
        <v>424.61422038389549</v>
      </c>
      <c r="G10">
        <f>Output!G11/1000000000</f>
        <v>413.73696515148333</v>
      </c>
      <c r="H10">
        <f>Output!H11/1000000000</f>
        <v>403.82346284971754</v>
      </c>
      <c r="I10">
        <f>Output!I11/1000000000</f>
        <v>394.73762170256225</v>
      </c>
      <c r="J10">
        <f>Output!J11/1000000000</f>
        <v>386.37533595639024</v>
      </c>
      <c r="L10">
        <v>0.7</v>
      </c>
      <c r="M10">
        <f>Output!M11/1000000000</f>
        <v>288.79737525918495</v>
      </c>
      <c r="N10">
        <f>Output!N11/1000000000</f>
        <v>290.30132953762006</v>
      </c>
      <c r="O10">
        <f>Output!O11/1000000000</f>
        <v>290.96428009696888</v>
      </c>
      <c r="P10">
        <f>Output!P11/1000000000</f>
        <v>291.24963688197465</v>
      </c>
      <c r="Q10">
        <f>Output!Q11/1000000000</f>
        <v>291.36931928996353</v>
      </c>
      <c r="R10">
        <f>Output!R11/1000000000</f>
        <v>291.43043675721702</v>
      </c>
      <c r="S10">
        <f>Output!S11/1000000000</f>
        <v>291.49039946571128</v>
      </c>
      <c r="T10">
        <f>Output!T11/1000000000</f>
        <v>291.58098910852345</v>
      </c>
      <c r="U10">
        <f>Output!U11/1000000000</f>
        <v>291.71983729542194</v>
      </c>
      <c r="W10">
        <v>0.7</v>
      </c>
      <c r="X10">
        <f>Output!X11/1000000000</f>
        <v>194.14650318213631</v>
      </c>
      <c r="Y10">
        <f>Output!Y11/1000000000</f>
        <v>174.99481439128311</v>
      </c>
      <c r="Z10">
        <f>Output!Z11/1000000000</f>
        <v>159.1063881308248</v>
      </c>
      <c r="AA10">
        <f>Output!AA11/1000000000</f>
        <v>145.38942880021767</v>
      </c>
      <c r="AB10">
        <f>Output!AB11/1000000000</f>
        <v>133.24490109393204</v>
      </c>
      <c r="AC10">
        <f>Output!AC11/1000000000</f>
        <v>122.30652839426628</v>
      </c>
      <c r="AD10">
        <f>Output!AD11/1000000000</f>
        <v>112.33306338400625</v>
      </c>
      <c r="AE10">
        <f>Output!AE11/1000000000</f>
        <v>103.15663259403884</v>
      </c>
      <c r="AF10">
        <f>Output!AF11/1000000000</f>
        <v>94.655498660968291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f>Output!B18/1000</f>
        <v>1011.2083817929326</v>
      </c>
      <c r="C17">
        <f>Output!C18/1000</f>
        <v>1010.4367570091014</v>
      </c>
      <c r="D17">
        <f>Output!D18/1000</f>
        <v>1008.3254828840157</v>
      </c>
      <c r="E17">
        <f>Output!E18/1000</f>
        <v>1005.8714049384535</v>
      </c>
      <c r="F17">
        <f>Output!F18/1000</f>
        <v>1003.4615135750876</v>
      </c>
      <c r="G17">
        <f>Output!G18/1000</f>
        <v>1001.2540188506093</v>
      </c>
      <c r="H17">
        <f>Output!H18/1000</f>
        <v>999.31096220374445</v>
      </c>
      <c r="I17">
        <f>Output!I18/1000</f>
        <v>997.65125824670599</v>
      </c>
      <c r="J17">
        <f>Output!J18/1000</f>
        <v>996.27427479398341</v>
      </c>
      <c r="K17" t="s">
        <v>105</v>
      </c>
      <c r="L17">
        <v>0</v>
      </c>
      <c r="M17">
        <f>Output!M18/1000</f>
        <v>522.3897653521251</v>
      </c>
      <c r="N17">
        <f>Output!N18/1000</f>
        <v>479.79855363096141</v>
      </c>
      <c r="O17">
        <f>Output!O18/1000</f>
        <v>444.89122746799751</v>
      </c>
      <c r="P17">
        <f>Output!P18/1000</f>
        <v>414.87045123302323</v>
      </c>
      <c r="Q17">
        <f>Output!Q18/1000</f>
        <v>388.25154009145604</v>
      </c>
      <c r="R17">
        <f>Output!R18/1000</f>
        <v>364.15035733496921</v>
      </c>
      <c r="S17">
        <f>Output!S18/1000</f>
        <v>341.99649527454937</v>
      </c>
      <c r="T17">
        <f>Output!T18/1000</f>
        <v>321.39949915508703</v>
      </c>
      <c r="U17">
        <f>Output!U18/1000</f>
        <v>302.07900065330392</v>
      </c>
      <c r="V17" t="s">
        <v>105</v>
      </c>
    </row>
    <row r="18" spans="1:22" x14ac:dyDescent="0.25">
      <c r="A18">
        <v>0.1</v>
      </c>
      <c r="B18">
        <f>Output!B19/1000</f>
        <v>1011.2083859789727</v>
      </c>
      <c r="C18">
        <f>Output!C19/1000</f>
        <v>1011.4528238465157</v>
      </c>
      <c r="D18">
        <f>Output!D19/1000</f>
        <v>1010.1849316768829</v>
      </c>
      <c r="E18">
        <f>Output!E19/1000</f>
        <v>1008.4494301584671</v>
      </c>
      <c r="F18">
        <f>Output!F19/1000</f>
        <v>1006.6632852187385</v>
      </c>
      <c r="G18">
        <f>Output!G19/1000</f>
        <v>1005.0047322914047</v>
      </c>
      <c r="H18">
        <f>Output!H19/1000</f>
        <v>1003.5497339411587</v>
      </c>
      <c r="I18">
        <f>Output!I19/1000</f>
        <v>1002.3274332651322</v>
      </c>
      <c r="J18">
        <f>Output!J19/1000</f>
        <v>1001.3447171085578</v>
      </c>
      <c r="K18" t="s">
        <v>105</v>
      </c>
      <c r="L18">
        <v>0.1</v>
      </c>
      <c r="M18">
        <f>Output!M19/1000</f>
        <v>522.38976819601703</v>
      </c>
      <c r="N18">
        <f>Output!N19/1000</f>
        <v>479.67785999642848</v>
      </c>
      <c r="O18">
        <f>Output!O19/1000</f>
        <v>444.64309758397343</v>
      </c>
      <c r="P18">
        <f>Output!P19/1000</f>
        <v>414.49941238534535</v>
      </c>
      <c r="Q18">
        <f>Output!Q19/1000</f>
        <v>387.76559343136466</v>
      </c>
      <c r="R18">
        <f>Output!R19/1000</f>
        <v>363.55838268925908</v>
      </c>
      <c r="S18">
        <f>Output!S19/1000</f>
        <v>341.30750564110622</v>
      </c>
      <c r="T18">
        <f>Output!T19/1000</f>
        <v>320.62202945239608</v>
      </c>
      <c r="U18">
        <f>Output!U19/1000</f>
        <v>301.22124863246989</v>
      </c>
      <c r="V18" t="s">
        <v>105</v>
      </c>
    </row>
    <row r="19" spans="1:22" x14ac:dyDescent="0.25">
      <c r="A19">
        <v>0.2</v>
      </c>
      <c r="B19">
        <f>Output!B20/1000</f>
        <v>1011.2083846545661</v>
      </c>
      <c r="C19">
        <f>Output!C20/1000</f>
        <v>1012.4711183046888</v>
      </c>
      <c r="D19">
        <f>Output!D20/1000</f>
        <v>1012.051547666585</v>
      </c>
      <c r="E19">
        <f>Output!E20/1000</f>
        <v>1011.0407936555763</v>
      </c>
      <c r="F19">
        <f>Output!F20/1000</f>
        <v>1009.8850789844761</v>
      </c>
      <c r="G19">
        <f>Output!G20/1000</f>
        <v>1008.7822699329159</v>
      </c>
      <c r="H19">
        <f>Output!H20/1000</f>
        <v>1007.8221213561466</v>
      </c>
      <c r="I19">
        <f>Output!I20/1000</f>
        <v>1007.0437791515287</v>
      </c>
      <c r="J19">
        <f>Output!J20/1000</f>
        <v>1006.4616200039136</v>
      </c>
      <c r="K19" t="s">
        <v>105</v>
      </c>
      <c r="L19">
        <v>0.2</v>
      </c>
      <c r="M19">
        <f>Output!M20/1000</f>
        <v>522.38976254685167</v>
      </c>
      <c r="N19">
        <f>Output!N20/1000</f>
        <v>479.55651866567769</v>
      </c>
      <c r="O19">
        <f>Output!O20/1000</f>
        <v>444.39279802472009</v>
      </c>
      <c r="P19">
        <f>Output!P20/1000</f>
        <v>414.12421129079456</v>
      </c>
      <c r="Q19">
        <f>Output!Q20/1000</f>
        <v>387.27327805412489</v>
      </c>
      <c r="R19">
        <f>Output!R20/1000</f>
        <v>362.95777819094224</v>
      </c>
      <c r="S19">
        <f>Output!S20/1000</f>
        <v>340.60749172346561</v>
      </c>
      <c r="T19">
        <f>Output!T20/1000</f>
        <v>319.83126032010108</v>
      </c>
      <c r="U19">
        <f>Output!U20/1000</f>
        <v>300.34798571972561</v>
      </c>
      <c r="V19" t="s">
        <v>105</v>
      </c>
    </row>
    <row r="20" spans="1:22" x14ac:dyDescent="0.25">
      <c r="A20">
        <v>0.3</v>
      </c>
      <c r="B20">
        <f>Output!B21/1000</f>
        <v>1011.2083824810574</v>
      </c>
      <c r="C20">
        <f>Output!C21/1000</f>
        <v>1013.4916495208726</v>
      </c>
      <c r="D20">
        <f>Output!D21/1000</f>
        <v>1013.9253822456989</v>
      </c>
      <c r="E20">
        <f>Output!E21/1000</f>
        <v>1013.6456313470535</v>
      </c>
      <c r="F20">
        <f>Output!F21/1000</f>
        <v>1013.1271788512092</v>
      </c>
      <c r="G20">
        <f>Output!G21/1000</f>
        <v>1012.5870607937329</v>
      </c>
      <c r="H20">
        <f>Output!H21/1000</f>
        <v>1012.1286678535857</v>
      </c>
      <c r="I20">
        <f>Output!I21/1000</f>
        <v>1011.8010141824861</v>
      </c>
      <c r="J20">
        <f>Output!J21/1000</f>
        <v>1011.6258862596522</v>
      </c>
      <c r="K20" t="s">
        <v>105</v>
      </c>
      <c r="L20">
        <v>0.3</v>
      </c>
      <c r="M20">
        <f>Output!M21/1000</f>
        <v>522.38976742650004</v>
      </c>
      <c r="N20">
        <f>Output!N21/1000</f>
        <v>479.43453318045556</v>
      </c>
      <c r="O20">
        <f>Output!O21/1000</f>
        <v>444.14030563013898</v>
      </c>
      <c r="P20">
        <f>Output!P21/1000</f>
        <v>413.74479637210413</v>
      </c>
      <c r="Q20">
        <f>Output!Q21/1000</f>
        <v>386.77442331890467</v>
      </c>
      <c r="R20">
        <f>Output!R21/1000</f>
        <v>362.34831003135355</v>
      </c>
      <c r="S20">
        <f>Output!S21/1000</f>
        <v>339.89623870338846</v>
      </c>
      <c r="T20">
        <f>Output!T21/1000</f>
        <v>319.02690153599474</v>
      </c>
      <c r="U20">
        <f>Output!U21/1000</f>
        <v>299.45885083421007</v>
      </c>
      <c r="V20" t="s">
        <v>105</v>
      </c>
    </row>
    <row r="21" spans="1:22" x14ac:dyDescent="0.25">
      <c r="A21">
        <v>0.4</v>
      </c>
      <c r="B21">
        <f>Output!B22/1000</f>
        <v>1011.2083800409788</v>
      </c>
      <c r="C21">
        <f>Output!C22/1000</f>
        <v>1014.5144434392265</v>
      </c>
      <c r="D21">
        <f>Output!D22/1000</f>
        <v>1015.8064903928783</v>
      </c>
      <c r="E21">
        <f>Output!E22/1000</f>
        <v>1016.2640716127179</v>
      </c>
      <c r="F21">
        <f>Output!F22/1000</f>
        <v>1016.3897762592057</v>
      </c>
      <c r="G21">
        <f>Output!G22/1000</f>
        <v>1016.4194993722189</v>
      </c>
      <c r="H21">
        <f>Output!H22/1000</f>
        <v>1016.4699358911417</v>
      </c>
      <c r="I21">
        <f>Output!I22/1000</f>
        <v>1016.5998865210403</v>
      </c>
      <c r="J21">
        <f>Output!J22/1000</f>
        <v>1016.8384494651295</v>
      </c>
      <c r="K21" t="s">
        <v>105</v>
      </c>
      <c r="L21">
        <v>0.4</v>
      </c>
      <c r="M21">
        <f>Output!M22/1000</f>
        <v>522.38981667691871</v>
      </c>
      <c r="N21">
        <f>Output!N22/1000</f>
        <v>479.31178319340313</v>
      </c>
      <c r="O21">
        <f>Output!O22/1000</f>
        <v>443.88559913816795</v>
      </c>
      <c r="P21">
        <f>Output!P22/1000</f>
        <v>413.36113674290289</v>
      </c>
      <c r="Q21">
        <f>Output!Q22/1000</f>
        <v>386.26906049125</v>
      </c>
      <c r="R21">
        <f>Output!R22/1000</f>
        <v>361.72982836920909</v>
      </c>
      <c r="S21">
        <f>Output!S22/1000</f>
        <v>339.17352204432558</v>
      </c>
      <c r="T21">
        <f>Output!T22/1000</f>
        <v>318.20862814691435</v>
      </c>
      <c r="U21">
        <f>Output!U22/1000</f>
        <v>298.55345257042273</v>
      </c>
      <c r="V21" t="s">
        <v>105</v>
      </c>
    </row>
    <row r="22" spans="1:22" x14ac:dyDescent="0.25">
      <c r="A22">
        <v>0.5</v>
      </c>
      <c r="B22">
        <f>Output!B23/1000</f>
        <v>1011.2083876289029</v>
      </c>
      <c r="C22">
        <f>Output!C23/1000</f>
        <v>1015.5394758347812</v>
      </c>
      <c r="D22">
        <f>Output!D23/1000</f>
        <v>1017.694922561252</v>
      </c>
      <c r="E22">
        <f>Output!E23/1000</f>
        <v>1018.8962942279023</v>
      </c>
      <c r="F22">
        <f>Output!F23/1000</f>
        <v>1019.6731816395649</v>
      </c>
      <c r="G22">
        <f>Output!G23/1000</f>
        <v>1020.2799930685167</v>
      </c>
      <c r="H22">
        <f>Output!H23/1000</f>
        <v>1020.846500530867</v>
      </c>
      <c r="I22">
        <f>Output!I23/1000</f>
        <v>1021.4411495273343</v>
      </c>
      <c r="J22">
        <f>Output!J23/1000</f>
        <v>1022.1002646229996</v>
      </c>
      <c r="K22" t="s">
        <v>105</v>
      </c>
      <c r="L22">
        <v>0.5</v>
      </c>
      <c r="M22">
        <f>Output!M23/1000</f>
        <v>522.38978787573956</v>
      </c>
      <c r="N22">
        <f>Output!N23/1000</f>
        <v>479.18846439757675</v>
      </c>
      <c r="O22">
        <f>Output!O23/1000</f>
        <v>443.62866582626253</v>
      </c>
      <c r="P22">
        <f>Output!P23/1000</f>
        <v>412.97307368392126</v>
      </c>
      <c r="Q22">
        <f>Output!Q23/1000</f>
        <v>385.75698971898004</v>
      </c>
      <c r="R22">
        <f>Output!R23/1000</f>
        <v>361.10216949061498</v>
      </c>
      <c r="S22">
        <f>Output!S23/1000</f>
        <v>338.43909688822072</v>
      </c>
      <c r="T22">
        <f>Output!T23/1000</f>
        <v>317.37614328523972</v>
      </c>
      <c r="U22">
        <f>Output!U23/1000</f>
        <v>297.63140149600542</v>
      </c>
      <c r="V22" t="s">
        <v>105</v>
      </c>
    </row>
    <row r="23" spans="1:22" x14ac:dyDescent="0.25">
      <c r="A23">
        <v>0.6</v>
      </c>
      <c r="B23">
        <f>Output!B24/1000</f>
        <v>1011.2083878848166</v>
      </c>
      <c r="C23">
        <f>Output!C24/1000</f>
        <v>1016.5667633153685</v>
      </c>
      <c r="D23">
        <f>Output!D24/1000</f>
        <v>1019.5907554250477</v>
      </c>
      <c r="E23">
        <f>Output!E24/1000</f>
        <v>1021.5423821594881</v>
      </c>
      <c r="F23">
        <f>Output!F24/1000</f>
        <v>1022.9776430901136</v>
      </c>
      <c r="G23">
        <f>Output!G24/1000</f>
        <v>1024.1689510531883</v>
      </c>
      <c r="H23">
        <f>Output!H24/1000</f>
        <v>1025.2589544801169</v>
      </c>
      <c r="I23">
        <f>Output!I24/1000</f>
        <v>1026.3255871342799</v>
      </c>
      <c r="J23">
        <f>Output!J24/1000</f>
        <v>1027.412318442374</v>
      </c>
      <c r="K23" t="s">
        <v>105</v>
      </c>
      <c r="L23">
        <v>0.6</v>
      </c>
      <c r="M23">
        <f>Output!M24/1000</f>
        <v>522.38984176134875</v>
      </c>
      <c r="N23">
        <f>Output!N24/1000</f>
        <v>479.06449653732091</v>
      </c>
      <c r="O23">
        <f>Output!O24/1000</f>
        <v>443.36943176089687</v>
      </c>
      <c r="P23">
        <f>Output!P24/1000</f>
        <v>412.5806959496465</v>
      </c>
      <c r="Q23">
        <f>Output!Q24/1000</f>
        <v>385.23812993013337</v>
      </c>
      <c r="R23">
        <f>Output!R24/1000</f>
        <v>360.46517139643458</v>
      </c>
      <c r="S23">
        <f>Output!S24/1000</f>
        <v>337.69272331585012</v>
      </c>
      <c r="T23">
        <f>Output!T24/1000</f>
        <v>316.52911289741024</v>
      </c>
      <c r="U23">
        <f>Output!U24/1000</f>
        <v>296.69227621649492</v>
      </c>
      <c r="V23" t="s">
        <v>105</v>
      </c>
    </row>
    <row r="24" spans="1:22" x14ac:dyDescent="0.25">
      <c r="A24">
        <v>0.7</v>
      </c>
      <c r="B24">
        <f>Output!B25/1000</f>
        <v>1011.2083871934941</v>
      </c>
      <c r="C24">
        <f>Output!C25/1000</f>
        <v>1017.5963335069571</v>
      </c>
      <c r="D24">
        <f>Output!D25/1000</f>
        <v>1021.4940074986484</v>
      </c>
      <c r="E24">
        <f>Output!E25/1000</f>
        <v>1024.2025123961457</v>
      </c>
      <c r="F24">
        <f>Output!F25/1000</f>
        <v>1026.3034334587114</v>
      </c>
      <c r="G24">
        <f>Output!G25/1000</f>
        <v>1028.0868058352592</v>
      </c>
      <c r="H24">
        <f>Output!H25/1000</f>
        <v>1029.7078953028843</v>
      </c>
      <c r="I24">
        <f>Output!I25/1000</f>
        <v>1031.253988721523</v>
      </c>
      <c r="J24">
        <f>Output!J25/1000</f>
        <v>1032.7756222340772</v>
      </c>
      <c r="L24">
        <v>0.7</v>
      </c>
      <c r="M24">
        <f>Output!M25/1000</f>
        <v>522.38978699003428</v>
      </c>
      <c r="N24">
        <f>Output!N25/1000</f>
        <v>478.9398490056289</v>
      </c>
      <c r="O24">
        <f>Output!O25/1000</f>
        <v>443.10796025770804</v>
      </c>
      <c r="P24">
        <f>Output!P25/1000</f>
        <v>412.18387358459762</v>
      </c>
      <c r="Q24">
        <f>Output!Q25/1000</f>
        <v>384.71237065860606</v>
      </c>
      <c r="R24">
        <f>Output!R25/1000</f>
        <v>359.81865209820063</v>
      </c>
      <c r="S24">
        <f>Output!S25/1000</f>
        <v>336.93416525628072</v>
      </c>
      <c r="T24">
        <f>Output!T25/1000</f>
        <v>315.66723497905048</v>
      </c>
      <c r="U24">
        <f>Output!U25/1000</f>
        <v>295.7356579341523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f>Output!B32/1000</f>
        <v>3547.8246591406873</v>
      </c>
      <c r="C31">
        <f>Output!C32/1000</f>
        <v>3285.8252853806043</v>
      </c>
      <c r="D31">
        <f>Output!D32/1000</f>
        <v>3102.2522643094676</v>
      </c>
      <c r="E31">
        <f>Output!E32/1000</f>
        <v>2966.7697208764253</v>
      </c>
      <c r="F31">
        <f>Output!F32/1000</f>
        <v>2863.6034463217752</v>
      </c>
      <c r="G31">
        <f>Output!G32/1000</f>
        <v>2783.5578987567619</v>
      </c>
      <c r="H31">
        <f>Output!H32/1000</f>
        <v>2720.8573990733844</v>
      </c>
      <c r="I31">
        <f>Output!I32/1000</f>
        <v>2671.6731996723906</v>
      </c>
      <c r="J31">
        <f>Output!J32/1000</f>
        <v>2633.3718370775814</v>
      </c>
      <c r="K31" t="s">
        <v>105</v>
      </c>
      <c r="L31">
        <v>0</v>
      </c>
      <c r="M31">
        <f>Output!M32/1000</f>
        <v>1614.6913911633176</v>
      </c>
      <c r="N31">
        <f>Output!N32/1000</f>
        <v>1473.8205729588938</v>
      </c>
      <c r="O31">
        <f>Output!O32/1000</f>
        <v>1364.7396961320965</v>
      </c>
      <c r="P31">
        <f>Output!P32/1000</f>
        <v>1275.2727574859216</v>
      </c>
      <c r="Q31">
        <f>Output!Q32/1000</f>
        <v>1199.1319777441181</v>
      </c>
      <c r="R31">
        <f>Output!R32/1000</f>
        <v>1132.6498107855532</v>
      </c>
      <c r="S31">
        <f>Output!S32/1000</f>
        <v>1073.4990309904449</v>
      </c>
      <c r="T31">
        <f>Output!T32/1000</f>
        <v>1020.1075782332607</v>
      </c>
      <c r="U31">
        <f>Output!U32/1000</f>
        <v>971.36075719994096</v>
      </c>
      <c r="V31" t="s">
        <v>105</v>
      </c>
    </row>
    <row r="32" spans="1:22" x14ac:dyDescent="0.25">
      <c r="A32">
        <v>0.1</v>
      </c>
      <c r="B32">
        <f>Output!B33/1000</f>
        <v>3547.8223456493806</v>
      </c>
      <c r="C32">
        <f>Output!C33/1000</f>
        <v>3290.1707414664988</v>
      </c>
      <c r="D32">
        <f>Output!D33/1000</f>
        <v>3109.5102922434098</v>
      </c>
      <c r="E32">
        <f>Output!E33/1000</f>
        <v>2976.1328333299462</v>
      </c>
      <c r="F32">
        <f>Output!F33/1000</f>
        <v>2874.5659882674067</v>
      </c>
      <c r="G32">
        <f>Output!G33/1000</f>
        <v>2795.7815396397709</v>
      </c>
      <c r="H32">
        <f>Output!H33/1000</f>
        <v>2734.1006741231699</v>
      </c>
      <c r="I32">
        <f>Output!I33/1000</f>
        <v>2685.7598071120533</v>
      </c>
      <c r="J32">
        <f>Output!J33/1000</f>
        <v>2648.1648116221422</v>
      </c>
      <c r="K32" t="s">
        <v>105</v>
      </c>
      <c r="L32">
        <v>0.1</v>
      </c>
      <c r="M32">
        <f>Output!M33/1000</f>
        <v>1614.6913416613384</v>
      </c>
      <c r="N32">
        <f>Output!N33/1000</f>
        <v>1475.3019569531016</v>
      </c>
      <c r="O32">
        <f>Output!O33/1000</f>
        <v>1367.1648916009128</v>
      </c>
      <c r="P32">
        <f>Output!P33/1000</f>
        <v>1278.3386209498278</v>
      </c>
      <c r="Q32">
        <f>Output!Q33/1000</f>
        <v>1202.648886760373</v>
      </c>
      <c r="R32">
        <f>Output!R33/1000</f>
        <v>1136.4901832728992</v>
      </c>
      <c r="S32">
        <f>Output!S33/1000</f>
        <v>1077.5724727688594</v>
      </c>
      <c r="T32">
        <f>Output!T33/1000</f>
        <v>1024.3479757362909</v>
      </c>
      <c r="U32">
        <f>Output!U33/1000</f>
        <v>975.7186187082259</v>
      </c>
      <c r="V32" t="s">
        <v>105</v>
      </c>
    </row>
    <row r="33" spans="1:22" x14ac:dyDescent="0.25">
      <c r="A33">
        <v>0.2</v>
      </c>
      <c r="B33">
        <f>Output!B34/1000</f>
        <v>3547.8230776183264</v>
      </c>
      <c r="C33">
        <f>Output!C34/1000</f>
        <v>3294.5266668530085</v>
      </c>
      <c r="D33">
        <f>Output!D34/1000</f>
        <v>3116.7986758563648</v>
      </c>
      <c r="E33">
        <f>Output!E34/1000</f>
        <v>2985.5478056194656</v>
      </c>
      <c r="F33">
        <f>Output!F34/1000</f>
        <v>2885.6009454293035</v>
      </c>
      <c r="G33">
        <f>Output!G34/1000</f>
        <v>2808.0958163779337</v>
      </c>
      <c r="H33">
        <f>Output!H34/1000</f>
        <v>2747.4528864059898</v>
      </c>
      <c r="I33">
        <f>Output!I34/1000</f>
        <v>2699.9702552929157</v>
      </c>
      <c r="J33">
        <f>Output!J34/1000</f>
        <v>2663.0944772142134</v>
      </c>
      <c r="K33" t="s">
        <v>105</v>
      </c>
      <c r="L33">
        <v>0.2</v>
      </c>
      <c r="M33">
        <f>Output!M34/1000</f>
        <v>1614.6914399930804</v>
      </c>
      <c r="N33">
        <f>Output!N34/1000</f>
        <v>1476.7873958356909</v>
      </c>
      <c r="O33">
        <f>Output!O34/1000</f>
        <v>1369.6019710056296</v>
      </c>
      <c r="P33">
        <f>Output!P34/1000</f>
        <v>1281.4251554787811</v>
      </c>
      <c r="Q33">
        <f>Output!Q34/1000</f>
        <v>1206.1949254560479</v>
      </c>
      <c r="R33">
        <f>Output!R34/1000</f>
        <v>1140.3675092849924</v>
      </c>
      <c r="S33">
        <f>Output!S34/1000</f>
        <v>1081.6901135277083</v>
      </c>
      <c r="T33">
        <f>Output!T34/1000</f>
        <v>1028.6390297272858</v>
      </c>
      <c r="U33">
        <f>Output!U34/1000</f>
        <v>980.13302475790158</v>
      </c>
      <c r="V33" t="s">
        <v>105</v>
      </c>
    </row>
    <row r="34" spans="1:22" x14ac:dyDescent="0.25">
      <c r="A34">
        <v>0.3</v>
      </c>
      <c r="B34">
        <f>Output!B35/1000</f>
        <v>3547.8242788432967</v>
      </c>
      <c r="C34">
        <f>Output!C35/1000</f>
        <v>3298.8931148409329</v>
      </c>
      <c r="D34">
        <f>Output!D35/1000</f>
        <v>3124.1175008280848</v>
      </c>
      <c r="E34">
        <f>Output!E35/1000</f>
        <v>2995.0151562544211</v>
      </c>
      <c r="F34">
        <f>Output!F35/1000</f>
        <v>2896.7104236757291</v>
      </c>
      <c r="G34">
        <f>Output!G35/1000</f>
        <v>2820.5033115426659</v>
      </c>
      <c r="H34">
        <f>Output!H35/1000</f>
        <v>2760.9155690025377</v>
      </c>
      <c r="I34">
        <f>Output!I35/1000</f>
        <v>2714.3065916303613</v>
      </c>
      <c r="J34">
        <f>Output!J35/1000</f>
        <v>2678.1633643064724</v>
      </c>
      <c r="K34" t="s">
        <v>105</v>
      </c>
      <c r="L34">
        <v>0.3</v>
      </c>
      <c r="M34">
        <f>Output!M35/1000</f>
        <v>1614.6913550559102</v>
      </c>
      <c r="N34">
        <f>Output!N35/1000</f>
        <v>1478.2768062603034</v>
      </c>
      <c r="O34">
        <f>Output!O35/1000</f>
        <v>1372.051099854345</v>
      </c>
      <c r="P34">
        <f>Output!P35/1000</f>
        <v>1284.5325622007144</v>
      </c>
      <c r="Q34">
        <f>Output!Q35/1000</f>
        <v>1209.770657874775</v>
      </c>
      <c r="R34">
        <f>Output!R35/1000</f>
        <v>1144.282453415442</v>
      </c>
      <c r="S34">
        <f>Output!S35/1000</f>
        <v>1085.8527212616798</v>
      </c>
      <c r="T34">
        <f>Output!T35/1000</f>
        <v>1032.9816906867825</v>
      </c>
      <c r="U34">
        <f>Output!U35/1000</f>
        <v>984.6050497492356</v>
      </c>
      <c r="V34" t="s">
        <v>105</v>
      </c>
    </row>
    <row r="35" spans="1:22" x14ac:dyDescent="0.25">
      <c r="A35">
        <v>0.4</v>
      </c>
      <c r="B35">
        <f>Output!B36/1000</f>
        <v>3547.8256273589141</v>
      </c>
      <c r="C35">
        <f>Output!C36/1000</f>
        <v>3303.2717701824135</v>
      </c>
      <c r="D35">
        <f>Output!D36/1000</f>
        <v>3131.4670554787235</v>
      </c>
      <c r="E35">
        <f>Output!E36/1000</f>
        <v>3004.5350091718801</v>
      </c>
      <c r="F35">
        <f>Output!F36/1000</f>
        <v>2907.8929797155602</v>
      </c>
      <c r="G35">
        <f>Output!G36/1000</f>
        <v>2833.0052089552769</v>
      </c>
      <c r="H35">
        <f>Output!H36/1000</f>
        <v>2774.4905065544481</v>
      </c>
      <c r="I35">
        <f>Output!I36/1000</f>
        <v>2728.7712093128334</v>
      </c>
      <c r="J35">
        <f>Output!J36/1000</f>
        <v>2693.3742308543024</v>
      </c>
      <c r="K35" t="s">
        <v>105</v>
      </c>
      <c r="L35">
        <v>0.4</v>
      </c>
      <c r="M35">
        <f>Output!M36/1000</f>
        <v>1614.6904977816375</v>
      </c>
      <c r="N35">
        <f>Output!N36/1000</f>
        <v>1479.7715613074133</v>
      </c>
      <c r="O35">
        <f>Output!O36/1000</f>
        <v>1374.5123598394759</v>
      </c>
      <c r="P35">
        <f>Output!P36/1000</f>
        <v>1287.6609607970468</v>
      </c>
      <c r="Q35">
        <f>Output!Q36/1000</f>
        <v>1213.376147801499</v>
      </c>
      <c r="R35">
        <f>Output!R36/1000</f>
        <v>1148.2355527135053</v>
      </c>
      <c r="S35">
        <f>Output!S36/1000</f>
        <v>1090.0610191453704</v>
      </c>
      <c r="T35">
        <f>Output!T36/1000</f>
        <v>1037.3769908355621</v>
      </c>
      <c r="U35">
        <f>Output!U36/1000</f>
        <v>989.13585524588916</v>
      </c>
      <c r="V35" t="s">
        <v>105</v>
      </c>
    </row>
    <row r="36" spans="1:22" x14ac:dyDescent="0.25">
      <c r="A36">
        <v>0.5</v>
      </c>
      <c r="B36">
        <f>Output!B37/1000</f>
        <v>3547.8214337567151</v>
      </c>
      <c r="C36">
        <f>Output!C37/1000</f>
        <v>3307.6590883265853</v>
      </c>
      <c r="D36">
        <f>Output!D37/1000</f>
        <v>3138.8473165003115</v>
      </c>
      <c r="E36">
        <f>Output!E37/1000</f>
        <v>3014.1095378295795</v>
      </c>
      <c r="F36">
        <f>Output!F37/1000</f>
        <v>2919.1514237609676</v>
      </c>
      <c r="G36">
        <f>Output!G37/1000</f>
        <v>2845.6028779971093</v>
      </c>
      <c r="H36">
        <f>Output!H37/1000</f>
        <v>2788.1794566066951</v>
      </c>
      <c r="I36">
        <f>Output!I37/1000</f>
        <v>2743.3662042103606</v>
      </c>
      <c r="J36">
        <f>Output!J37/1000</f>
        <v>2708.7298215284623</v>
      </c>
      <c r="K36" t="s">
        <v>105</v>
      </c>
      <c r="L36">
        <v>0.5</v>
      </c>
      <c r="M36">
        <f>Output!M37/1000</f>
        <v>1614.6909991077314</v>
      </c>
      <c r="N36">
        <f>Output!N37/1000</f>
        <v>1481.2695108294331</v>
      </c>
      <c r="O36">
        <f>Output!O37/1000</f>
        <v>1376.9858185546077</v>
      </c>
      <c r="P36">
        <f>Output!P37/1000</f>
        <v>1290.8110907220062</v>
      </c>
      <c r="Q36">
        <f>Output!Q37/1000</f>
        <v>1217.0119448183477</v>
      </c>
      <c r="R36">
        <f>Output!R37/1000</f>
        <v>1152.2273764742099</v>
      </c>
      <c r="S36">
        <f>Output!S37/1000</f>
        <v>1094.3158905651637</v>
      </c>
      <c r="T36">
        <f>Output!T37/1000</f>
        <v>1041.8258857630194</v>
      </c>
      <c r="U36">
        <f>Output!U37/1000</f>
        <v>993.72658627447686</v>
      </c>
      <c r="V36" t="s">
        <v>105</v>
      </c>
    </row>
    <row r="37" spans="1:22" x14ac:dyDescent="0.25">
      <c r="A37">
        <v>0.6</v>
      </c>
      <c r="B37">
        <f>Output!B38/1000</f>
        <v>3547.8212923154442</v>
      </c>
      <c r="C37">
        <f>Output!C38/1000</f>
        <v>3312.0557866920949</v>
      </c>
      <c r="D37">
        <f>Output!D38/1000</f>
        <v>3146.2597414557827</v>
      </c>
      <c r="E37">
        <f>Output!E38/1000</f>
        <v>3023.736809435055</v>
      </c>
      <c r="F37">
        <f>Output!F38/1000</f>
        <v>2930.4860693464084</v>
      </c>
      <c r="G37">
        <f>Output!G38/1000</f>
        <v>2858.2974760202292</v>
      </c>
      <c r="H37">
        <f>Output!H38/1000</f>
        <v>2801.9843973064226</v>
      </c>
      <c r="I37">
        <f>Output!I38/1000</f>
        <v>2758.093993850503</v>
      </c>
      <c r="J37">
        <f>Output!J38/1000</f>
        <v>2724.2330454686139</v>
      </c>
      <c r="K37" t="s">
        <v>105</v>
      </c>
      <c r="L37">
        <v>0.6</v>
      </c>
      <c r="M37">
        <f>Output!M38/1000</f>
        <v>1614.6900611505157</v>
      </c>
      <c r="N37">
        <f>Output!N38/1000</f>
        <v>1482.7716380008494</v>
      </c>
      <c r="O37">
        <f>Output!O38/1000</f>
        <v>1379.4718517412884</v>
      </c>
      <c r="P37">
        <f>Output!P38/1000</f>
        <v>1293.98253047308</v>
      </c>
      <c r="Q37">
        <f>Output!Q38/1000</f>
        <v>1220.678463876734</v>
      </c>
      <c r="R37">
        <f>Output!R38/1000</f>
        <v>1156.2585608461752</v>
      </c>
      <c r="S37">
        <f>Output!S38/1000</f>
        <v>1098.6180744467756</v>
      </c>
      <c r="T37">
        <f>Output!T38/1000</f>
        <v>1046.329440462395</v>
      </c>
      <c r="U37">
        <f>Output!U38/1000</f>
        <v>998.37851281116275</v>
      </c>
      <c r="V37" t="s">
        <v>105</v>
      </c>
    </row>
    <row r="38" spans="1:22" x14ac:dyDescent="0.25">
      <c r="A38">
        <v>0.7</v>
      </c>
      <c r="B38">
        <f>Output!B39/1000</f>
        <v>3547.8216744025863</v>
      </c>
      <c r="C38">
        <f>Output!C39/1000</f>
        <v>3316.4641328610946</v>
      </c>
      <c r="D38">
        <f>Output!D39/1000</f>
        <v>3153.702378234846</v>
      </c>
      <c r="E38">
        <f>Output!E39/1000</f>
        <v>3033.4187843419581</v>
      </c>
      <c r="F38">
        <f>Output!F39/1000</f>
        <v>2941.8980226923618</v>
      </c>
      <c r="G38">
        <f>Output!G39/1000</f>
        <v>2871.0906932369853</v>
      </c>
      <c r="H38">
        <f>Output!H39/1000</f>
        <v>2815.9070857962197</v>
      </c>
      <c r="I38">
        <f>Output!I39/1000</f>
        <v>2772.9567543238654</v>
      </c>
      <c r="J38">
        <f>Output!J39/1000</f>
        <v>2739.8868565247094</v>
      </c>
      <c r="L38">
        <v>0.7</v>
      </c>
      <c r="M38">
        <f>Output!M39/1000</f>
        <v>1614.6910145247011</v>
      </c>
      <c r="N38">
        <f>Output!N39/1000</f>
        <v>1484.2779377742036</v>
      </c>
      <c r="O38">
        <f>Output!O39/1000</f>
        <v>1381.9701646911724</v>
      </c>
      <c r="P38">
        <f>Output!P39/1000</f>
        <v>1297.1757854180501</v>
      </c>
      <c r="Q38">
        <f>Output!Q39/1000</f>
        <v>1224.3760772928622</v>
      </c>
      <c r="R38">
        <f>Output!R39/1000</f>
        <v>1160.3296793419738</v>
      </c>
      <c r="S38">
        <f>Output!S39/1000</f>
        <v>1102.9683676989257</v>
      </c>
      <c r="T38">
        <f>Output!T39/1000</f>
        <v>1050.8885904504866</v>
      </c>
      <c r="U38">
        <f>Output!U39/1000</f>
        <v>1003.0928572031662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f>Output!B46</f>
        <v>3.2045046945354692</v>
      </c>
      <c r="C45">
        <f>Output!C46</f>
        <v>2.9141870758963</v>
      </c>
      <c r="D45">
        <f>Output!D46</f>
        <v>2.711361055626119</v>
      </c>
      <c r="E45">
        <f>Output!E46</f>
        <v>2.5619975616195108</v>
      </c>
      <c r="F45">
        <f>Output!F46</f>
        <v>2.4484563185563748</v>
      </c>
      <c r="G45">
        <f>Output!G46</f>
        <v>2.3604810289348404</v>
      </c>
      <c r="H45">
        <f>Output!H46</f>
        <v>2.2916443662966</v>
      </c>
      <c r="I45">
        <f>Output!I46</f>
        <v>2.2376940881307128</v>
      </c>
      <c r="J45">
        <f>Output!J46</f>
        <v>2.1957105524249516</v>
      </c>
      <c r="K45" t="s">
        <v>105</v>
      </c>
      <c r="L45">
        <v>0</v>
      </c>
      <c r="M45">
        <f>Output!M46</f>
        <v>1.2127754979448371</v>
      </c>
      <c r="N45">
        <f>Output!N46</f>
        <v>1.0912299961710796</v>
      </c>
      <c r="O45">
        <f>Output!O46</f>
        <v>0.9984163688262786</v>
      </c>
      <c r="P45">
        <f>Output!P46</f>
        <v>0.92323866605205784</v>
      </c>
      <c r="Q45">
        <f>Output!Q46</f>
        <v>0.85999492153864321</v>
      </c>
      <c r="R45">
        <f>Output!R46</f>
        <v>0.80537239327332766</v>
      </c>
      <c r="S45">
        <f>Output!S46</f>
        <v>0.75727603636112195</v>
      </c>
      <c r="T45">
        <f>Output!T46</f>
        <v>0.7142948735328527</v>
      </c>
      <c r="U45">
        <f>Output!U46</f>
        <v>0.67543138361766597</v>
      </c>
      <c r="V45" t="s">
        <v>105</v>
      </c>
    </row>
    <row r="46" spans="1:22" x14ac:dyDescent="0.25">
      <c r="A46">
        <v>0.1</v>
      </c>
      <c r="B46">
        <f>Output!B47</f>
        <v>3.204502126801037</v>
      </c>
      <c r="C46">
        <f>Output!C47</f>
        <v>2.9184112134557036</v>
      </c>
      <c r="D46">
        <f>Output!D47</f>
        <v>2.7183241477080182</v>
      </c>
      <c r="E46">
        <f>Output!E47</f>
        <v>2.5708768703213014</v>
      </c>
      <c r="F46">
        <f>Output!F47</f>
        <v>2.4587454533075723</v>
      </c>
      <c r="G46">
        <f>Output!G47</f>
        <v>2.3718473384606837</v>
      </c>
      <c r="H46">
        <f>Output!H47</f>
        <v>2.3038545922214984</v>
      </c>
      <c r="I46">
        <f>Output!I47</f>
        <v>2.2505814661718313</v>
      </c>
      <c r="J46">
        <f>Output!J47</f>
        <v>2.2091477263416133</v>
      </c>
      <c r="K46" t="s">
        <v>105</v>
      </c>
      <c r="L46">
        <v>0.1</v>
      </c>
      <c r="M46">
        <f>Output!M47</f>
        <v>1.2127754516744087</v>
      </c>
      <c r="N46">
        <f>Output!N47</f>
        <v>1.0926095604593806</v>
      </c>
      <c r="O46">
        <f>Output!O47</f>
        <v>1.0006675268988725</v>
      </c>
      <c r="P46">
        <f>Output!P47</f>
        <v>0.92607596024693262</v>
      </c>
      <c r="Q46">
        <f>Output!Q47</f>
        <v>0.86324030395044427</v>
      </c>
      <c r="R46">
        <f>Output!R47</f>
        <v>0.80890638930915382</v>
      </c>
      <c r="S46">
        <f>Output!S47</f>
        <v>0.76101417761823642</v>
      </c>
      <c r="T46">
        <f>Output!T47</f>
        <v>0.71817552149574426</v>
      </c>
      <c r="U46">
        <f>Output!U47</f>
        <v>0.67940843438472265</v>
      </c>
      <c r="V46" t="s">
        <v>105</v>
      </c>
    </row>
    <row r="47" spans="1:22" x14ac:dyDescent="0.25">
      <c r="A47">
        <v>0.2</v>
      </c>
      <c r="B47">
        <f>Output!B48</f>
        <v>3.2045029392103346</v>
      </c>
      <c r="C47">
        <f>Output!C48</f>
        <v>2.9226456461560928</v>
      </c>
      <c r="D47">
        <f>Output!D48</f>
        <v>2.7253167030107308</v>
      </c>
      <c r="E47">
        <f>Output!E48</f>
        <v>2.5798059076023478</v>
      </c>
      <c r="F47">
        <f>Output!F48</f>
        <v>2.4691032432694762</v>
      </c>
      <c r="G47">
        <f>Output!G48</f>
        <v>2.383298571198551</v>
      </c>
      <c r="H47">
        <f>Output!H48</f>
        <v>2.3161661158779969</v>
      </c>
      <c r="I47">
        <f>Output!I48</f>
        <v>2.2635828689258672</v>
      </c>
      <c r="J47">
        <f>Output!J48</f>
        <v>2.2227095180461047</v>
      </c>
      <c r="K47" t="s">
        <v>105</v>
      </c>
      <c r="L47">
        <v>0.2</v>
      </c>
      <c r="M47">
        <f>Output!M48</f>
        <v>1.2127755435869396</v>
      </c>
      <c r="N47">
        <f>Output!N48</f>
        <v>1.0939930563745854</v>
      </c>
      <c r="O47">
        <f>Output!O48</f>
        <v>1.002930182642968</v>
      </c>
      <c r="P47">
        <f>Output!P48</f>
        <v>0.92893320349142761</v>
      </c>
      <c r="Q47">
        <f>Output!Q48</f>
        <v>0.86651373741432147</v>
      </c>
      <c r="R47">
        <f>Output!R48</f>
        <v>0.81247588760934697</v>
      </c>
      <c r="S47">
        <f>Output!S48</f>
        <v>0.76479469738862316</v>
      </c>
      <c r="T47">
        <f>Output!T48</f>
        <v>0.72210462515876328</v>
      </c>
      <c r="U47">
        <f>Output!U48</f>
        <v>0.68343943433115195</v>
      </c>
      <c r="V47" t="s">
        <v>105</v>
      </c>
    </row>
    <row r="48" spans="1:22" x14ac:dyDescent="0.25">
      <c r="A48">
        <v>0.3</v>
      </c>
      <c r="B48">
        <f>Output!B49</f>
        <v>3.2045042724449617</v>
      </c>
      <c r="C48">
        <f>Output!C49</f>
        <v>2.9268904276925833</v>
      </c>
      <c r="D48">
        <f>Output!D49</f>
        <v>2.732338785757134</v>
      </c>
      <c r="E48">
        <f>Output!E49</f>
        <v>2.5887851686770298</v>
      </c>
      <c r="F48">
        <f>Output!F49</f>
        <v>2.4795318644704278</v>
      </c>
      <c r="G48">
        <f>Output!G49</f>
        <v>2.3948373489234474</v>
      </c>
      <c r="H48">
        <f>Output!H49</f>
        <v>2.3285803186966145</v>
      </c>
      <c r="I48">
        <f>Output!I49</f>
        <v>2.2767001467983072</v>
      </c>
      <c r="J48">
        <f>Output!J49</f>
        <v>2.2363982063366521</v>
      </c>
      <c r="K48" t="s">
        <v>105</v>
      </c>
      <c r="L48">
        <v>0.3</v>
      </c>
      <c r="M48">
        <f>Output!M49</f>
        <v>1.2127754641945689</v>
      </c>
      <c r="N48">
        <f>Output!N49</f>
        <v>1.0953804074630742</v>
      </c>
      <c r="O48">
        <f>Output!O49</f>
        <v>1.0052044939187692</v>
      </c>
      <c r="P48">
        <f>Output!P49</f>
        <v>0.93181059452221182</v>
      </c>
      <c r="Q48">
        <f>Output!Q49</f>
        <v>0.86981577361039131</v>
      </c>
      <c r="R48">
        <f>Output!R49</f>
        <v>0.81608154520776366</v>
      </c>
      <c r="S48">
        <f>Output!S49</f>
        <v>0.76861834408614249</v>
      </c>
      <c r="T48">
        <f>Output!T49</f>
        <v>0.7260831119909299</v>
      </c>
      <c r="U48">
        <f>Output!U49</f>
        <v>0.68752543655420961</v>
      </c>
      <c r="V48" t="s">
        <v>105</v>
      </c>
    </row>
    <row r="49" spans="1:22" x14ac:dyDescent="0.25">
      <c r="A49">
        <v>0.4</v>
      </c>
      <c r="B49">
        <f>Output!B50</f>
        <v>3.2045057691568934</v>
      </c>
      <c r="C49">
        <f>Output!C50</f>
        <v>2.9311474140618898</v>
      </c>
      <c r="D49">
        <f>Output!D50</f>
        <v>2.7393906834762958</v>
      </c>
      <c r="E49">
        <f>Output!E50</f>
        <v>2.5978147137607217</v>
      </c>
      <c r="F49">
        <f>Output!F50</f>
        <v>2.4900295909393466</v>
      </c>
      <c r="G49">
        <f>Output!G50</f>
        <v>2.4064647529770169</v>
      </c>
      <c r="H49">
        <f>Output!H50</f>
        <v>2.3410988515431437</v>
      </c>
      <c r="I49">
        <f>Output!I50</f>
        <v>2.2899355184755215</v>
      </c>
      <c r="J49">
        <f>Output!J50</f>
        <v>2.2502163056604778</v>
      </c>
      <c r="K49" t="s">
        <v>105</v>
      </c>
      <c r="L49">
        <v>0.4</v>
      </c>
      <c r="M49">
        <f>Output!M50</f>
        <v>1.2127746628841711</v>
      </c>
      <c r="N49">
        <f>Output!N50</f>
        <v>1.0967728948931228</v>
      </c>
      <c r="O49">
        <f>Output!O50</f>
        <v>1.0074905421076017</v>
      </c>
      <c r="P49">
        <f>Output!P50</f>
        <v>0.93470825465879048</v>
      </c>
      <c r="Q49">
        <f>Output!Q50</f>
        <v>0.87314647663817579</v>
      </c>
      <c r="R49">
        <f>Output!R50</f>
        <v>0.81972388951020758</v>
      </c>
      <c r="S49">
        <f>Output!S50</f>
        <v>0.77248582909361774</v>
      </c>
      <c r="T49">
        <f>Output!T50</f>
        <v>0.73011198926906673</v>
      </c>
      <c r="U49">
        <f>Output!U50</f>
        <v>0.6916675776502198</v>
      </c>
      <c r="V49" t="s">
        <v>105</v>
      </c>
    </row>
    <row r="50" spans="1:22" x14ac:dyDescent="0.25">
      <c r="A50">
        <v>0.5</v>
      </c>
      <c r="B50">
        <f>Output!B51</f>
        <v>3.2045011146951592</v>
      </c>
      <c r="C50">
        <f>Output!C51</f>
        <v>2.935412682110472</v>
      </c>
      <c r="D50">
        <f>Output!D51</f>
        <v>2.7464723397103366</v>
      </c>
      <c r="E50">
        <f>Output!E51</f>
        <v>2.6068968551553851</v>
      </c>
      <c r="F50">
        <f>Output!F51</f>
        <v>2.5005993681426437</v>
      </c>
      <c r="G50">
        <f>Output!G51</f>
        <v>2.4181820639967073</v>
      </c>
      <c r="H50">
        <f>Output!H51</f>
        <v>2.3537233273613687</v>
      </c>
      <c r="I50">
        <f>Output!I51</f>
        <v>2.3032908671996877</v>
      </c>
      <c r="J50">
        <f>Output!J51</f>
        <v>2.264166302585612</v>
      </c>
      <c r="K50" t="s">
        <v>105</v>
      </c>
      <c r="L50">
        <v>0.5</v>
      </c>
      <c r="M50">
        <f>Output!M51</f>
        <v>1.2127751314831041</v>
      </c>
      <c r="N50">
        <f>Output!N51</f>
        <v>1.0981685125883842</v>
      </c>
      <c r="O50">
        <f>Output!O51</f>
        <v>1.009788394162122</v>
      </c>
      <c r="P50">
        <f>Output!P51</f>
        <v>0.9376268895440717</v>
      </c>
      <c r="Q50">
        <f>Output!Q51</f>
        <v>0.8765063914308252</v>
      </c>
      <c r="R50">
        <f>Output!R51</f>
        <v>0.8234034798113391</v>
      </c>
      <c r="S50">
        <f>Output!S51</f>
        <v>0.77639801033622824</v>
      </c>
      <c r="T50">
        <f>Output!T51</f>
        <v>0.73419219233008903</v>
      </c>
      <c r="U50">
        <f>Output!U51</f>
        <v>0.69586698068537356</v>
      </c>
      <c r="V50" t="s">
        <v>105</v>
      </c>
    </row>
    <row r="51" spans="1:22" x14ac:dyDescent="0.25">
      <c r="A51">
        <v>0.6</v>
      </c>
      <c r="B51">
        <f>Output!B52</f>
        <v>3.2045009577100831</v>
      </c>
      <c r="C51">
        <f>Output!C52</f>
        <v>2.9396870188896354</v>
      </c>
      <c r="D51">
        <f>Output!D52</f>
        <v>2.7535853297629092</v>
      </c>
      <c r="E51">
        <f>Output!E52</f>
        <v>2.6160293893650421</v>
      </c>
      <c r="F51">
        <f>Output!F52</f>
        <v>2.5112413950204839</v>
      </c>
      <c r="G51">
        <f>Output!G52</f>
        <v>2.4299903249091881</v>
      </c>
      <c r="H51">
        <f>Output!H52</f>
        <v>2.3664555947727113</v>
      </c>
      <c r="I51">
        <f>Output!I52</f>
        <v>2.3167684171145657</v>
      </c>
      <c r="J51">
        <f>Output!J52</f>
        <v>2.278250848281933</v>
      </c>
      <c r="K51" t="s">
        <v>105</v>
      </c>
      <c r="L51">
        <v>0.6</v>
      </c>
      <c r="M51">
        <f>Output!M52</f>
        <v>1.2127742547568621</v>
      </c>
      <c r="N51">
        <f>Output!N52</f>
        <v>1.0995681769191858</v>
      </c>
      <c r="O51">
        <f>Output!O52</f>
        <v>1.0120984089956253</v>
      </c>
      <c r="P51">
        <f>Output!P52</f>
        <v>0.94056610908379401</v>
      </c>
      <c r="Q51">
        <f>Output!Q52</f>
        <v>0.87989591932327738</v>
      </c>
      <c r="R51">
        <f>Output!R52</f>
        <v>0.82712093511076379</v>
      </c>
      <c r="S51">
        <f>Output!S52</f>
        <v>0.78035561763798889</v>
      </c>
      <c r="T51">
        <f>Output!T52</f>
        <v>0.73832476120827339</v>
      </c>
      <c r="U51">
        <f>Output!U52</f>
        <v>0.7001248857628346</v>
      </c>
      <c r="V51" t="s">
        <v>105</v>
      </c>
    </row>
    <row r="52" spans="1:22" x14ac:dyDescent="0.25">
      <c r="A52">
        <v>0.7</v>
      </c>
      <c r="B52">
        <f>Output!B53</f>
        <v>3.2045013817870118</v>
      </c>
      <c r="C52">
        <f>Output!C53</f>
        <v>2.9439729267838017</v>
      </c>
      <c r="D52">
        <f>Output!D53</f>
        <v>2.7607274705274079</v>
      </c>
      <c r="E52">
        <f>Output!E53</f>
        <v>2.6252143929668881</v>
      </c>
      <c r="F52">
        <f>Output!F53</f>
        <v>2.5219567394945686</v>
      </c>
      <c r="G52">
        <f>Output!G53</f>
        <v>2.4418911591975534</v>
      </c>
      <c r="H52">
        <f>Output!H53</f>
        <v>2.3792972526145983</v>
      </c>
      <c r="I52">
        <f>Output!I53</f>
        <v>2.3303701192609698</v>
      </c>
      <c r="J52">
        <f>Output!J53</f>
        <v>2.2924726289482762</v>
      </c>
      <c r="L52">
        <v>0.7</v>
      </c>
      <c r="M52">
        <f>Output!M53</f>
        <v>1.2127751458936333</v>
      </c>
      <c r="N52">
        <f>Output!N53</f>
        <v>1.1009718896562983</v>
      </c>
      <c r="O52">
        <f>Output!O53</f>
        <v>1.0144203096537381</v>
      </c>
      <c r="P52">
        <f>Output!P53</f>
        <v>0.94352640229957485</v>
      </c>
      <c r="Q52">
        <f>Output!Q53</f>
        <v>0.8833154294333605</v>
      </c>
      <c r="R52">
        <f>Output!R53</f>
        <v>0.83087682301304111</v>
      </c>
      <c r="S52">
        <f>Output!S53</f>
        <v>0.78435943211316039</v>
      </c>
      <c r="T52">
        <f>Output!T53</f>
        <v>0.74251061666433193</v>
      </c>
      <c r="U52">
        <f>Output!U53</f>
        <v>0.7044424922327297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24AA3-9AD2-42B3-8719-7A0560AE29A9}">
  <dimension ref="A2:AG52"/>
  <sheetViews>
    <sheetView topLeftCell="A22" workbookViewId="0">
      <selection activeCell="M45" sqref="M45:V52"/>
    </sheetView>
  </sheetViews>
  <sheetFormatPr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v>491.233599438299</v>
      </c>
      <c r="C3">
        <v>466.12103142013609</v>
      </c>
      <c r="D3">
        <v>444.70079575812321</v>
      </c>
      <c r="E3">
        <v>426.10703746459103</v>
      </c>
      <c r="F3">
        <v>409.78578049444462</v>
      </c>
      <c r="G3">
        <v>395.35285682782637</v>
      </c>
      <c r="H3">
        <v>382.52676069932585</v>
      </c>
      <c r="I3">
        <v>371.09279107362164</v>
      </c>
      <c r="J3">
        <v>360.88215291129768</v>
      </c>
      <c r="K3" t="s">
        <v>105</v>
      </c>
      <c r="L3">
        <v>0</v>
      </c>
      <c r="M3">
        <v>297.08709625616729</v>
      </c>
      <c r="N3">
        <v>296.76571810357035</v>
      </c>
      <c r="O3">
        <v>296.17326701654332</v>
      </c>
      <c r="P3">
        <v>295.5714203320677</v>
      </c>
      <c r="Q3">
        <v>295.05048210031481</v>
      </c>
      <c r="R3">
        <v>294.63894145914497</v>
      </c>
      <c r="S3">
        <v>294.34089013412614</v>
      </c>
      <c r="T3">
        <v>294.15026167297907</v>
      </c>
      <c r="U3">
        <v>294.05710826385206</v>
      </c>
      <c r="V3" t="s">
        <v>105</v>
      </c>
      <c r="W3">
        <v>0</v>
      </c>
      <c r="X3">
        <v>194.14650318213157</v>
      </c>
      <c r="Y3">
        <v>169.35531331656574</v>
      </c>
      <c r="Z3">
        <v>148.52752874157989</v>
      </c>
      <c r="AA3">
        <v>130.53561713252333</v>
      </c>
      <c r="AB3">
        <v>114.73529839412981</v>
      </c>
      <c r="AC3">
        <v>100.71391536868141</v>
      </c>
      <c r="AD3">
        <v>88.185870565199707</v>
      </c>
      <c r="AE3">
        <v>76.942529400642556</v>
      </c>
      <c r="AF3">
        <v>66.825044647445637</v>
      </c>
      <c r="AG3" t="s">
        <v>105</v>
      </c>
    </row>
    <row r="4" spans="1:33" x14ac:dyDescent="0.25">
      <c r="A4">
        <v>0.1</v>
      </c>
      <c r="B4">
        <v>491.23359943835703</v>
      </c>
      <c r="C4">
        <v>466.47390556346488</v>
      </c>
      <c r="D4">
        <v>445.33844527727706</v>
      </c>
      <c r="E4">
        <v>426.98136965078214</v>
      </c>
      <c r="F4">
        <v>410.86075145022431</v>
      </c>
      <c r="G4">
        <v>396.60033402164976</v>
      </c>
      <c r="H4">
        <v>383.92411572061133</v>
      </c>
      <c r="I4">
        <v>372.62138585536604</v>
      </c>
      <c r="J4">
        <v>362.52633216007172</v>
      </c>
      <c r="K4" t="s">
        <v>105</v>
      </c>
      <c r="L4">
        <v>0.1</v>
      </c>
      <c r="M4">
        <v>297.08709625617013</v>
      </c>
      <c r="N4">
        <v>297.12079959500176</v>
      </c>
      <c r="O4">
        <v>296.81588705823572</v>
      </c>
      <c r="P4">
        <v>296.45204894509322</v>
      </c>
      <c r="Q4">
        <v>296.13143619936244</v>
      </c>
      <c r="R4">
        <v>295.89072492597302</v>
      </c>
      <c r="S4">
        <v>295.73977186463884</v>
      </c>
      <c r="T4">
        <v>295.67679365466091</v>
      </c>
      <c r="U4">
        <v>295.69505539772723</v>
      </c>
      <c r="V4" t="s">
        <v>105</v>
      </c>
      <c r="W4">
        <v>0.1</v>
      </c>
      <c r="X4">
        <v>194.14650318218693</v>
      </c>
      <c r="Y4">
        <v>169.35310596846313</v>
      </c>
      <c r="Z4">
        <v>148.52255821904131</v>
      </c>
      <c r="AA4">
        <v>130.52932070568897</v>
      </c>
      <c r="AB4">
        <v>114.72931525086187</v>
      </c>
      <c r="AC4">
        <v>100.70960909567675</v>
      </c>
      <c r="AD4">
        <v>88.184343855972472</v>
      </c>
      <c r="AE4">
        <v>76.944592200705145</v>
      </c>
      <c r="AF4">
        <v>66.831276762344501</v>
      </c>
      <c r="AG4" t="s">
        <v>105</v>
      </c>
    </row>
    <row r="5" spans="1:33" x14ac:dyDescent="0.25">
      <c r="A5">
        <v>0.2</v>
      </c>
      <c r="B5">
        <v>491.23359943823147</v>
      </c>
      <c r="C5">
        <v>466.82720733225347</v>
      </c>
      <c r="D5">
        <v>445.97744372421204</v>
      </c>
      <c r="E5">
        <v>427.85816508998414</v>
      </c>
      <c r="F5">
        <v>411.93935220447304</v>
      </c>
      <c r="G5">
        <v>397.85258973457348</v>
      </c>
      <c r="H5">
        <v>385.32734517473807</v>
      </c>
      <c r="I5">
        <v>374.15688185531394</v>
      </c>
      <c r="J5">
        <v>364.17836434929637</v>
      </c>
      <c r="K5" t="s">
        <v>105</v>
      </c>
      <c r="L5">
        <v>0.2</v>
      </c>
      <c r="M5">
        <v>297.08709625612261</v>
      </c>
      <c r="N5">
        <v>297.47673451008251</v>
      </c>
      <c r="O5">
        <v>297.46121258800594</v>
      </c>
      <c r="P5">
        <v>297.33762320447624</v>
      </c>
      <c r="Q5">
        <v>297.21969976128003</v>
      </c>
      <c r="R5">
        <v>297.1521011360216</v>
      </c>
      <c r="S5">
        <v>297.15043071693628</v>
      </c>
      <c r="T5">
        <v>297.21714244787228</v>
      </c>
      <c r="U5">
        <v>297.34870355298938</v>
      </c>
      <c r="V5" t="s">
        <v>105</v>
      </c>
      <c r="W5">
        <v>0.2</v>
      </c>
      <c r="X5">
        <v>194.14650318210883</v>
      </c>
      <c r="Y5">
        <v>169.35047282217096</v>
      </c>
      <c r="Z5">
        <v>148.51623113620607</v>
      </c>
      <c r="AA5">
        <v>130.52054188550784</v>
      </c>
      <c r="AB5">
        <v>114.71965244319296</v>
      </c>
      <c r="AC5">
        <v>100.7004885985519</v>
      </c>
      <c r="AD5">
        <v>88.176914457801814</v>
      </c>
      <c r="AE5">
        <v>76.939739407441678</v>
      </c>
      <c r="AF5">
        <v>66.829660796306982</v>
      </c>
      <c r="AG5" t="s">
        <v>105</v>
      </c>
    </row>
    <row r="6" spans="1:33" x14ac:dyDescent="0.25">
      <c r="A6">
        <v>0.3</v>
      </c>
      <c r="B6">
        <v>491.23359943835055</v>
      </c>
      <c r="C6">
        <v>467.18093811800475</v>
      </c>
      <c r="D6">
        <v>446.61779889954443</v>
      </c>
      <c r="E6">
        <v>428.73744309688993</v>
      </c>
      <c r="F6">
        <v>413.02161748036787</v>
      </c>
      <c r="G6">
        <v>399.10967672215713</v>
      </c>
      <c r="H6">
        <v>386.73652141595483</v>
      </c>
      <c r="I6">
        <v>375.69937177559399</v>
      </c>
      <c r="J6">
        <v>365.83836267073406</v>
      </c>
      <c r="K6" t="s">
        <v>105</v>
      </c>
      <c r="L6">
        <v>0.3</v>
      </c>
      <c r="M6">
        <v>297.08709625616427</v>
      </c>
      <c r="N6">
        <v>297.83352728703682</v>
      </c>
      <c r="O6">
        <v>298.1092654348667</v>
      </c>
      <c r="P6">
        <v>298.22820353848289</v>
      </c>
      <c r="Q6">
        <v>298.31534940653347</v>
      </c>
      <c r="R6">
        <v>298.42322787114216</v>
      </c>
      <c r="S6">
        <v>298.573084120224</v>
      </c>
      <c r="T6">
        <v>298.77158780143077</v>
      </c>
      <c r="U6">
        <v>299.01839277937836</v>
      </c>
      <c r="V6" t="s">
        <v>105</v>
      </c>
      <c r="W6">
        <v>0.3</v>
      </c>
      <c r="X6">
        <v>194.14650318218628</v>
      </c>
      <c r="Y6">
        <v>169.34741083096796</v>
      </c>
      <c r="Z6">
        <v>148.5085334646777</v>
      </c>
      <c r="AA6">
        <v>130.50923955840705</v>
      </c>
      <c r="AB6">
        <v>114.70626807383439</v>
      </c>
      <c r="AC6">
        <v>100.68644885101496</v>
      </c>
      <c r="AD6">
        <v>88.163437295730802</v>
      </c>
      <c r="AE6">
        <v>76.927783974163205</v>
      </c>
      <c r="AF6">
        <v>66.819969891355711</v>
      </c>
      <c r="AG6" t="s">
        <v>105</v>
      </c>
    </row>
    <row r="7" spans="1:33" x14ac:dyDescent="0.25">
      <c r="A7">
        <v>0.4</v>
      </c>
      <c r="B7">
        <v>491.2335994383314</v>
      </c>
      <c r="C7">
        <v>467.53509931939777</v>
      </c>
      <c r="D7">
        <v>447.25951867533115</v>
      </c>
      <c r="E7">
        <v>429.61922322597184</v>
      </c>
      <c r="F7">
        <v>414.10758252684246</v>
      </c>
      <c r="G7">
        <v>400.37164866297621</v>
      </c>
      <c r="H7">
        <v>388.15171821236328</v>
      </c>
      <c r="I7">
        <v>377.24895029678794</v>
      </c>
      <c r="J7">
        <v>367.50644291307043</v>
      </c>
      <c r="K7" t="s">
        <v>105</v>
      </c>
      <c r="L7">
        <v>0.4</v>
      </c>
      <c r="M7">
        <v>297.08709625616916</v>
      </c>
      <c r="N7">
        <v>298.19118226686265</v>
      </c>
      <c r="O7">
        <v>298.76007037981827</v>
      </c>
      <c r="P7">
        <v>299.12384757899565</v>
      </c>
      <c r="Q7">
        <v>299.41850378535003</v>
      </c>
      <c r="R7">
        <v>299.70426745188098</v>
      </c>
      <c r="S7">
        <v>300.00795734860787</v>
      </c>
      <c r="T7">
        <v>300.34041858997637</v>
      </c>
      <c r="U7">
        <v>300.70447412690743</v>
      </c>
      <c r="V7" t="s">
        <v>105</v>
      </c>
      <c r="W7">
        <v>0.4</v>
      </c>
      <c r="X7">
        <v>194.14650318216223</v>
      </c>
      <c r="Y7">
        <v>169.34391705253509</v>
      </c>
      <c r="Z7">
        <v>148.49944829551288</v>
      </c>
      <c r="AA7">
        <v>130.49537564697621</v>
      </c>
      <c r="AB7">
        <v>114.68907874149245</v>
      </c>
      <c r="AC7">
        <v>100.66738121109523</v>
      </c>
      <c r="AD7">
        <v>88.143760863755418</v>
      </c>
      <c r="AE7">
        <v>76.908531706811559</v>
      </c>
      <c r="AF7">
        <v>66.801968786162988</v>
      </c>
      <c r="AG7" t="s">
        <v>105</v>
      </c>
    </row>
    <row r="8" spans="1:33" x14ac:dyDescent="0.25">
      <c r="A8">
        <v>0.5</v>
      </c>
      <c r="B8">
        <v>491.23359943830587</v>
      </c>
      <c r="C8">
        <v>467.88969234234082</v>
      </c>
      <c r="D8">
        <v>447.9026109959662</v>
      </c>
      <c r="E8">
        <v>430.5035252755203</v>
      </c>
      <c r="F8">
        <v>415.19728312991117</v>
      </c>
      <c r="G8">
        <v>401.63856018086614</v>
      </c>
      <c r="H8">
        <v>389.57301078398802</v>
      </c>
      <c r="I8">
        <v>378.80571413613092</v>
      </c>
      <c r="J8">
        <v>369.18272354408685</v>
      </c>
      <c r="K8" t="s">
        <v>105</v>
      </c>
      <c r="L8">
        <v>0.5</v>
      </c>
      <c r="M8">
        <v>297.08709625617024</v>
      </c>
      <c r="N8">
        <v>298.54970339406032</v>
      </c>
      <c r="O8">
        <v>299.41365133903463</v>
      </c>
      <c r="P8">
        <v>300.02463431420466</v>
      </c>
      <c r="Q8">
        <v>300.52926854643209</v>
      </c>
      <c r="R8">
        <v>300.99538643011886</v>
      </c>
      <c r="S8">
        <v>301.45528070353151</v>
      </c>
      <c r="T8">
        <v>301.92392897895769</v>
      </c>
      <c r="U8">
        <v>302.40731355519108</v>
      </c>
      <c r="V8" t="s">
        <v>105</v>
      </c>
      <c r="W8">
        <v>0.5</v>
      </c>
      <c r="X8">
        <v>194.14650318213563</v>
      </c>
      <c r="Y8">
        <v>169.33998894828048</v>
      </c>
      <c r="Z8">
        <v>148.48895965693154</v>
      </c>
      <c r="AA8">
        <v>130.47889096131567</v>
      </c>
      <c r="AB8">
        <v>114.66801458347912</v>
      </c>
      <c r="AC8">
        <v>100.64317375074731</v>
      </c>
      <c r="AD8">
        <v>88.117730080456525</v>
      </c>
      <c r="AE8">
        <v>76.881785157173226</v>
      </c>
      <c r="AF8">
        <v>66.775409988895731</v>
      </c>
      <c r="AG8" t="s">
        <v>105</v>
      </c>
    </row>
    <row r="9" spans="1:33" x14ac:dyDescent="0.25">
      <c r="A9">
        <v>0.6</v>
      </c>
      <c r="B9">
        <v>491.23359943829809</v>
      </c>
      <c r="C9">
        <v>468.24471860002132</v>
      </c>
      <c r="D9">
        <v>448.54708387910216</v>
      </c>
      <c r="E9">
        <v>431.39036929209914</v>
      </c>
      <c r="F9">
        <v>416.29075562384855</v>
      </c>
      <c r="G9">
        <v>402.91046686785216</v>
      </c>
      <c r="H9">
        <v>391.00047584214514</v>
      </c>
      <c r="I9">
        <v>380.36976210790783</v>
      </c>
      <c r="J9">
        <v>370.86732579617603</v>
      </c>
      <c r="K9" t="s">
        <v>105</v>
      </c>
      <c r="L9">
        <v>0.6</v>
      </c>
      <c r="M9">
        <v>297.08709625617013</v>
      </c>
      <c r="N9">
        <v>298.90909452215345</v>
      </c>
      <c r="O9">
        <v>300.07003330345037</v>
      </c>
      <c r="P9">
        <v>300.93057630102766</v>
      </c>
      <c r="Q9">
        <v>301.6477592344163</v>
      </c>
      <c r="R9">
        <v>302.29675647904088</v>
      </c>
      <c r="S9">
        <v>302.91529061541354</v>
      </c>
      <c r="T9">
        <v>303.52242490667805</v>
      </c>
      <c r="U9">
        <v>304.12728101914411</v>
      </c>
      <c r="V9" t="s">
        <v>105</v>
      </c>
      <c r="W9">
        <v>0.6</v>
      </c>
      <c r="X9">
        <v>194.14650318212799</v>
      </c>
      <c r="Y9">
        <v>169.33562407786786</v>
      </c>
      <c r="Z9">
        <v>148.47705057565176</v>
      </c>
      <c r="AA9">
        <v>130.45979299107145</v>
      </c>
      <c r="AB9">
        <v>114.64299638943224</v>
      </c>
      <c r="AC9">
        <v>100.61371038881124</v>
      </c>
      <c r="AD9">
        <v>88.08518522673161</v>
      </c>
      <c r="AE9">
        <v>76.847337201229763</v>
      </c>
      <c r="AF9">
        <v>66.740044777031898</v>
      </c>
      <c r="AG9" t="s">
        <v>105</v>
      </c>
    </row>
    <row r="10" spans="1:33" x14ac:dyDescent="0.25">
      <c r="A10">
        <v>0.7</v>
      </c>
      <c r="B10">
        <v>491.23359943830081</v>
      </c>
      <c r="C10">
        <v>468.60017951295811</v>
      </c>
      <c r="D10">
        <v>449.1929454165853</v>
      </c>
      <c r="E10">
        <v>432.27977557434639</v>
      </c>
      <c r="F10">
        <v>417.38803690278957</v>
      </c>
      <c r="G10">
        <v>404.18742530779821</v>
      </c>
      <c r="H10">
        <v>392.43419163020423</v>
      </c>
      <c r="I10">
        <v>381.9411951861531</v>
      </c>
      <c r="J10">
        <v>372.56037375536113</v>
      </c>
      <c r="L10">
        <v>0.7</v>
      </c>
      <c r="M10">
        <v>297.0870962561699</v>
      </c>
      <c r="N10">
        <v>299.26936034096229</v>
      </c>
      <c r="O10">
        <v>300.7292385347738</v>
      </c>
      <c r="P10">
        <v>301.84178164807963</v>
      </c>
      <c r="Q10">
        <v>302.77408770147349</v>
      </c>
      <c r="R10">
        <v>303.6085532047461</v>
      </c>
      <c r="S10">
        <v>304.38823027007351</v>
      </c>
      <c r="T10">
        <v>305.13621965702549</v>
      </c>
      <c r="U10">
        <v>305.86476534571665</v>
      </c>
      <c r="W10">
        <v>0.7</v>
      </c>
      <c r="X10">
        <v>194.14650318213091</v>
      </c>
      <c r="Y10">
        <v>169.33081917199581</v>
      </c>
      <c r="Z10">
        <v>148.46370688181153</v>
      </c>
      <c r="AA10">
        <v>130.43799392626673</v>
      </c>
      <c r="AB10">
        <v>114.61394920131607</v>
      </c>
      <c r="AC10">
        <v>100.57887210305209</v>
      </c>
      <c r="AD10">
        <v>88.045961360130718</v>
      </c>
      <c r="AE10">
        <v>76.804975529127532</v>
      </c>
      <c r="AF10">
        <v>66.695608409644493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v>1134.4281311219684</v>
      </c>
      <c r="C17">
        <v>1140.1884430370822</v>
      </c>
      <c r="D17">
        <v>1143.5098370524565</v>
      </c>
      <c r="E17">
        <v>1145.5710696689137</v>
      </c>
      <c r="F17">
        <v>1146.9012742537659</v>
      </c>
      <c r="G17">
        <v>1147.7692920630045</v>
      </c>
      <c r="H17">
        <v>1148.3234552790577</v>
      </c>
      <c r="I17">
        <v>1148.6507278877041</v>
      </c>
      <c r="J17">
        <v>1148.803756796917</v>
      </c>
      <c r="K17" t="s">
        <v>105</v>
      </c>
      <c r="L17">
        <v>0</v>
      </c>
      <c r="M17">
        <v>522.38978422309776</v>
      </c>
      <c r="N17">
        <v>464.9717673759784</v>
      </c>
      <c r="O17">
        <v>416.9895229616605</v>
      </c>
      <c r="P17">
        <v>375.51019734938905</v>
      </c>
      <c r="Q17">
        <v>338.89321100578451</v>
      </c>
      <c r="R17">
        <v>306.10735602493338</v>
      </c>
      <c r="S17">
        <v>276.45091891548941</v>
      </c>
      <c r="T17">
        <v>249.41981941314484</v>
      </c>
      <c r="U17">
        <v>224.63624491477978</v>
      </c>
      <c r="V17" t="s">
        <v>105</v>
      </c>
    </row>
    <row r="18" spans="1:22" x14ac:dyDescent="0.25">
      <c r="A18">
        <v>0.1</v>
      </c>
      <c r="B18">
        <v>1134.4281444655428</v>
      </c>
      <c r="C18">
        <v>1141.4623751108265</v>
      </c>
      <c r="D18">
        <v>1145.8025253862454</v>
      </c>
      <c r="E18">
        <v>1148.7001429124934</v>
      </c>
      <c r="F18">
        <v>1150.7297462510428</v>
      </c>
      <c r="G18">
        <v>1152.1902844739686</v>
      </c>
      <c r="H18">
        <v>1153.2512937016552</v>
      </c>
      <c r="I18">
        <v>1154.0150208904258</v>
      </c>
      <c r="J18">
        <v>1154.5455706013779</v>
      </c>
      <c r="K18" t="s">
        <v>105</v>
      </c>
      <c r="L18">
        <v>0.1</v>
      </c>
      <c r="M18">
        <v>522.38985460205299</v>
      </c>
      <c r="N18">
        <v>464.82843651365175</v>
      </c>
      <c r="O18">
        <v>416.70742627252633</v>
      </c>
      <c r="P18">
        <v>375.10180483036299</v>
      </c>
      <c r="Q18">
        <v>338.37240339961204</v>
      </c>
      <c r="R18">
        <v>305.48723278635089</v>
      </c>
      <c r="S18">
        <v>275.74391662793738</v>
      </c>
      <c r="T18">
        <v>248.6373493954583</v>
      </c>
      <c r="U18">
        <v>223.78882133219875</v>
      </c>
      <c r="V18" t="s">
        <v>105</v>
      </c>
    </row>
    <row r="19" spans="1:22" x14ac:dyDescent="0.25">
      <c r="A19">
        <v>0.2</v>
      </c>
      <c r="B19">
        <v>1134.4280733463615</v>
      </c>
      <c r="C19">
        <v>1142.7396199066684</v>
      </c>
      <c r="D19">
        <v>1148.1055714228087</v>
      </c>
      <c r="E19">
        <v>1151.847987831706</v>
      </c>
      <c r="F19">
        <v>1154.585623853636</v>
      </c>
      <c r="G19">
        <v>1156.6471321905324</v>
      </c>
      <c r="H19">
        <v>1158.2229007542476</v>
      </c>
      <c r="I19">
        <v>1159.430375990074</v>
      </c>
      <c r="J19">
        <v>1160.3450875617425</v>
      </c>
      <c r="K19" t="s">
        <v>105</v>
      </c>
      <c r="L19">
        <v>0.2</v>
      </c>
      <c r="M19">
        <v>522.38977264583195</v>
      </c>
      <c r="N19">
        <v>464.68412028288395</v>
      </c>
      <c r="O19">
        <v>416.42214893250502</v>
      </c>
      <c r="P19">
        <v>374.68753349022887</v>
      </c>
      <c r="Q19">
        <v>337.84266499464303</v>
      </c>
      <c r="R19">
        <v>304.85553472547173</v>
      </c>
      <c r="S19">
        <v>275.02266429816859</v>
      </c>
      <c r="T19">
        <v>247.83810052780692</v>
      </c>
      <c r="U19">
        <v>222.92227772792666</v>
      </c>
      <c r="V19" t="s">
        <v>105</v>
      </c>
    </row>
    <row r="20" spans="1:22" x14ac:dyDescent="0.25">
      <c r="A20">
        <v>0.3</v>
      </c>
      <c r="B20">
        <v>1134.4281231042569</v>
      </c>
      <c r="C20">
        <v>1144.0201923142749</v>
      </c>
      <c r="D20">
        <v>1150.419075965978</v>
      </c>
      <c r="E20">
        <v>1155.0148283948527</v>
      </c>
      <c r="F20">
        <v>1158.4693712202602</v>
      </c>
      <c r="G20">
        <v>1161.1404571819669</v>
      </c>
      <c r="H20">
        <v>1163.2391200922245</v>
      </c>
      <c r="I20">
        <v>1164.8978623494963</v>
      </c>
      <c r="J20">
        <v>1166.2036060203332</v>
      </c>
      <c r="K20" t="s">
        <v>105</v>
      </c>
      <c r="L20">
        <v>0.3</v>
      </c>
      <c r="M20">
        <v>522.38985712019326</v>
      </c>
      <c r="N20">
        <v>464.53881069387626</v>
      </c>
      <c r="O20">
        <v>416.13365855765659</v>
      </c>
      <c r="P20">
        <v>374.26729072210532</v>
      </c>
      <c r="Q20">
        <v>337.30413171603993</v>
      </c>
      <c r="R20">
        <v>304.21202482358166</v>
      </c>
      <c r="S20">
        <v>274.28681629953343</v>
      </c>
      <c r="T20">
        <v>247.02164263720962</v>
      </c>
      <c r="U20">
        <v>222.03609443600251</v>
      </c>
      <c r="V20" t="s">
        <v>105</v>
      </c>
    </row>
    <row r="21" spans="1:22" x14ac:dyDescent="0.25">
      <c r="A21">
        <v>0.4</v>
      </c>
      <c r="B21">
        <v>1134.4281621635937</v>
      </c>
      <c r="C21">
        <v>1145.3041084013237</v>
      </c>
      <c r="D21">
        <v>1152.7431298923284</v>
      </c>
      <c r="E21">
        <v>1158.2009032757169</v>
      </c>
      <c r="F21">
        <v>1162.3813845773154</v>
      </c>
      <c r="G21">
        <v>1165.6708948597438</v>
      </c>
      <c r="H21">
        <v>1168.3008134856514</v>
      </c>
      <c r="I21">
        <v>1170.4185777260279</v>
      </c>
      <c r="J21">
        <v>1172.1224639871514</v>
      </c>
      <c r="K21" t="s">
        <v>105</v>
      </c>
      <c r="L21">
        <v>0.4</v>
      </c>
      <c r="M21">
        <v>522.38980451488442</v>
      </c>
      <c r="N21">
        <v>464.39250080985971</v>
      </c>
      <c r="O21">
        <v>415.84191698685316</v>
      </c>
      <c r="P21">
        <v>373.84098970300914</v>
      </c>
      <c r="Q21">
        <v>336.75652754642209</v>
      </c>
      <c r="R21">
        <v>303.55645342371321</v>
      </c>
      <c r="S21">
        <v>273.53602842299063</v>
      </c>
      <c r="T21">
        <v>246.18753383189289</v>
      </c>
      <c r="U21">
        <v>221.12973370897106</v>
      </c>
      <c r="V21" t="s">
        <v>105</v>
      </c>
    </row>
    <row r="22" spans="1:22" x14ac:dyDescent="0.25">
      <c r="A22">
        <v>0.5</v>
      </c>
      <c r="B22">
        <v>1134.4281494683703</v>
      </c>
      <c r="C22">
        <v>1146.5913875257556</v>
      </c>
      <c r="D22">
        <v>1155.0778301290495</v>
      </c>
      <c r="E22">
        <v>1161.4063969192564</v>
      </c>
      <c r="F22">
        <v>1166.3220985098324</v>
      </c>
      <c r="G22">
        <v>1170.2390938137924</v>
      </c>
      <c r="H22">
        <v>1173.4088667076874</v>
      </c>
      <c r="I22">
        <v>1175.993659665505</v>
      </c>
      <c r="J22">
        <v>1178.1030370292494</v>
      </c>
      <c r="K22" t="s">
        <v>105</v>
      </c>
      <c r="L22">
        <v>0.5</v>
      </c>
      <c r="M22">
        <v>522.38978647843203</v>
      </c>
      <c r="N22">
        <v>464.24518627793691</v>
      </c>
      <c r="O22">
        <v>415.54688752079738</v>
      </c>
      <c r="P22">
        <v>373.40849145734751</v>
      </c>
      <c r="Q22">
        <v>336.19969915083584</v>
      </c>
      <c r="R22">
        <v>302.88856973386157</v>
      </c>
      <c r="S22">
        <v>272.76994917473792</v>
      </c>
      <c r="T22">
        <v>245.33531339893435</v>
      </c>
      <c r="U22">
        <v>220.20262000322978</v>
      </c>
      <c r="V22" t="s">
        <v>105</v>
      </c>
    </row>
    <row r="23" spans="1:22" x14ac:dyDescent="0.25">
      <c r="A23">
        <v>0.6</v>
      </c>
      <c r="B23">
        <v>1134.4281462505767</v>
      </c>
      <c r="C23">
        <v>1147.882049876175</v>
      </c>
      <c r="D23">
        <v>1157.4232714103071</v>
      </c>
      <c r="E23">
        <v>1164.6316943504989</v>
      </c>
      <c r="F23">
        <v>1170.2919425404793</v>
      </c>
      <c r="G23">
        <v>1174.8457164886161</v>
      </c>
      <c r="H23">
        <v>1178.5641929128403</v>
      </c>
      <c r="I23">
        <v>1181.6242722525965</v>
      </c>
      <c r="J23">
        <v>1184.1467546990257</v>
      </c>
      <c r="K23" t="s">
        <v>105</v>
      </c>
      <c r="L23">
        <v>0.6</v>
      </c>
      <c r="M23">
        <v>522.38978219918351</v>
      </c>
      <c r="N23">
        <v>464.09686318221571</v>
      </c>
      <c r="O23">
        <v>415.2485320558431</v>
      </c>
      <c r="P23">
        <v>372.96980798636667</v>
      </c>
      <c r="Q23">
        <v>335.63345372263586</v>
      </c>
      <c r="R23">
        <v>302.20810788944317</v>
      </c>
      <c r="S23">
        <v>271.98820228641955</v>
      </c>
      <c r="T23">
        <v>244.46450900907988</v>
      </c>
      <c r="U23">
        <v>219.25418993809768</v>
      </c>
      <c r="V23" t="s">
        <v>105</v>
      </c>
    </row>
    <row r="24" spans="1:22" x14ac:dyDescent="0.25">
      <c r="A24">
        <v>0.7</v>
      </c>
      <c r="B24">
        <v>1134.4281428781126</v>
      </c>
      <c r="C24">
        <v>1149.17610993417</v>
      </c>
      <c r="D24">
        <v>1159.7795602844278</v>
      </c>
      <c r="E24">
        <v>1167.8769056322119</v>
      </c>
      <c r="F24">
        <v>1174.2913659378066</v>
      </c>
      <c r="G24">
        <v>1179.4914422175423</v>
      </c>
      <c r="H24">
        <v>1183.7677237668854</v>
      </c>
      <c r="I24">
        <v>1187.3116185570516</v>
      </c>
      <c r="J24">
        <v>1190.2550832349623</v>
      </c>
      <c r="L24">
        <v>0.7</v>
      </c>
      <c r="M24">
        <v>522.38978386670908</v>
      </c>
      <c r="N24">
        <v>463.94752212487822</v>
      </c>
      <c r="O24">
        <v>414.94682540027071</v>
      </c>
      <c r="P24">
        <v>372.52475309536464</v>
      </c>
      <c r="Q24">
        <v>335.0576251981999</v>
      </c>
      <c r="R24">
        <v>301.51479389828359</v>
      </c>
      <c r="S24">
        <v>271.19042133071628</v>
      </c>
      <c r="T24">
        <v>243.57463123908724</v>
      </c>
      <c r="U24">
        <v>218.28383062894753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v>5000.2680459716921</v>
      </c>
      <c r="C31">
        <v>4838.7512101553993</v>
      </c>
      <c r="D31">
        <v>4732.7897454817139</v>
      </c>
      <c r="E31">
        <v>4660.2209038120582</v>
      </c>
      <c r="F31">
        <v>4609.7370200456116</v>
      </c>
      <c r="G31">
        <v>4574.8924834145491</v>
      </c>
      <c r="H31">
        <v>4551.732382404768</v>
      </c>
      <c r="I31">
        <v>4537.6826205574562</v>
      </c>
      <c r="J31">
        <v>4531.0118001892806</v>
      </c>
      <c r="K31" t="s">
        <v>105</v>
      </c>
      <c r="L31">
        <v>0</v>
      </c>
      <c r="M31">
        <v>1614.6910626871936</v>
      </c>
      <c r="N31">
        <v>1426.0167260980763</v>
      </c>
      <c r="O31">
        <v>1279.2908701833467</v>
      </c>
      <c r="P31">
        <v>1159.792775995825</v>
      </c>
      <c r="Q31">
        <v>1059.515539667364</v>
      </c>
      <c r="R31">
        <v>973.56169315772706</v>
      </c>
      <c r="S31">
        <v>898.69291598243547</v>
      </c>
      <c r="T31">
        <v>832.64374412421876</v>
      </c>
      <c r="U31">
        <v>773.7623366429151</v>
      </c>
      <c r="V31" t="s">
        <v>105</v>
      </c>
    </row>
    <row r="32" spans="1:22" x14ac:dyDescent="0.25">
      <c r="A32">
        <v>0.1</v>
      </c>
      <c r="B32">
        <v>5000.2676969304675</v>
      </c>
      <c r="C32">
        <v>4843.7520709232549</v>
      </c>
      <c r="D32">
        <v>4741.2652774924336</v>
      </c>
      <c r="E32">
        <v>4671.2801454363907</v>
      </c>
      <c r="F32">
        <v>4622.7978904020765</v>
      </c>
      <c r="G32">
        <v>4589.5476475914793</v>
      </c>
      <c r="H32">
        <v>4567.6736657097063</v>
      </c>
      <c r="I32">
        <v>4554.6687008517356</v>
      </c>
      <c r="J32">
        <v>4548.8443137162858</v>
      </c>
      <c r="K32" t="s">
        <v>105</v>
      </c>
      <c r="L32">
        <v>0.1</v>
      </c>
      <c r="M32">
        <v>1614.6898376391416</v>
      </c>
      <c r="N32">
        <v>1427.8425741504673</v>
      </c>
      <c r="O32">
        <v>1282.1780255028391</v>
      </c>
      <c r="P32">
        <v>1163.3152237033842</v>
      </c>
      <c r="Q32">
        <v>1063.4136394354114</v>
      </c>
      <c r="R32">
        <v>977.67021957969553</v>
      </c>
      <c r="S32">
        <v>902.90190857320829</v>
      </c>
      <c r="T32">
        <v>836.87920956222706</v>
      </c>
      <c r="U32">
        <v>777.97427618330869</v>
      </c>
      <c r="V32" t="s">
        <v>105</v>
      </c>
    </row>
    <row r="33" spans="1:22" x14ac:dyDescent="0.25">
      <c r="A33">
        <v>0.2</v>
      </c>
      <c r="B33">
        <v>5000.269557264789</v>
      </c>
      <c r="C33">
        <v>4848.7663422704754</v>
      </c>
      <c r="D33">
        <v>4749.7798205317858</v>
      </c>
      <c r="E33">
        <v>4682.4056589600768</v>
      </c>
      <c r="F33">
        <v>4635.9530087720696</v>
      </c>
      <c r="G33">
        <v>4604.3193800522504</v>
      </c>
      <c r="H33">
        <v>4583.7524164183533</v>
      </c>
      <c r="I33">
        <v>4571.8106311085785</v>
      </c>
      <c r="J33">
        <v>4566.8487624306536</v>
      </c>
      <c r="K33" t="s">
        <v>105</v>
      </c>
      <c r="L33">
        <v>0.2</v>
      </c>
      <c r="M33">
        <v>1614.6912642060124</v>
      </c>
      <c r="N33">
        <v>1429.6744381878075</v>
      </c>
      <c r="O33">
        <v>1285.0820383264656</v>
      </c>
      <c r="P33">
        <v>1166.8655766675922</v>
      </c>
      <c r="Q33">
        <v>1067.3504129457856</v>
      </c>
      <c r="R33">
        <v>981.82460425405782</v>
      </c>
      <c r="S33">
        <v>907.16322296949158</v>
      </c>
      <c r="T33">
        <v>841.17214578118558</v>
      </c>
      <c r="U33">
        <v>782.24755320224574</v>
      </c>
      <c r="V33" t="s">
        <v>105</v>
      </c>
    </row>
    <row r="34" spans="1:22" x14ac:dyDescent="0.25">
      <c r="A34">
        <v>0.3</v>
      </c>
      <c r="B34">
        <v>5000.2682556989248</v>
      </c>
      <c r="C34">
        <v>4853.7941559448236</v>
      </c>
      <c r="D34">
        <v>4758.3334897633531</v>
      </c>
      <c r="E34">
        <v>4693.5984782230744</v>
      </c>
      <c r="F34">
        <v>4649.2013430631432</v>
      </c>
      <c r="G34">
        <v>4619.2095346057486</v>
      </c>
      <c r="H34">
        <v>4599.9711769209252</v>
      </c>
      <c r="I34">
        <v>4589.1116846071409</v>
      </c>
      <c r="J34">
        <v>4585.0289496529494</v>
      </c>
      <c r="K34" t="s">
        <v>105</v>
      </c>
      <c r="L34">
        <v>0.3</v>
      </c>
      <c r="M34">
        <v>1614.6897938071993</v>
      </c>
      <c r="N34">
        <v>1431.5123611348577</v>
      </c>
      <c r="O34">
        <v>1288.0030865918068</v>
      </c>
      <c r="P34">
        <v>1170.4441512810349</v>
      </c>
      <c r="Q34">
        <v>1071.3248580322761</v>
      </c>
      <c r="R34">
        <v>986.02564822732381</v>
      </c>
      <c r="S34">
        <v>911.47798133999072</v>
      </c>
      <c r="T34">
        <v>845.52379539164065</v>
      </c>
      <c r="U34">
        <v>786.58359307515548</v>
      </c>
      <c r="V34" t="s">
        <v>105</v>
      </c>
    </row>
    <row r="35" spans="1:22" x14ac:dyDescent="0.25">
      <c r="A35">
        <v>0.4</v>
      </c>
      <c r="B35">
        <v>5000.2672339847013</v>
      </c>
      <c r="C35">
        <v>4858.8356129153326</v>
      </c>
      <c r="D35">
        <v>4766.9267804628817</v>
      </c>
      <c r="E35">
        <v>4704.8592513927761</v>
      </c>
      <c r="F35">
        <v>4662.5452878675405</v>
      </c>
      <c r="G35">
        <v>4634.2200753171455</v>
      </c>
      <c r="H35">
        <v>4616.3327302990183</v>
      </c>
      <c r="I35">
        <v>4606.5753243942299</v>
      </c>
      <c r="J35">
        <v>4603.3888423682029</v>
      </c>
      <c r="K35" t="s">
        <v>105</v>
      </c>
      <c r="L35">
        <v>0.4</v>
      </c>
      <c r="M35">
        <v>1614.6907094794531</v>
      </c>
      <c r="N35">
        <v>1433.3563767331136</v>
      </c>
      <c r="O35">
        <v>1290.9413135331088</v>
      </c>
      <c r="P35">
        <v>1174.0513166116716</v>
      </c>
      <c r="Q35">
        <v>1075.3381306318104</v>
      </c>
      <c r="R35">
        <v>990.2741949676016</v>
      </c>
      <c r="S35">
        <v>915.84721609335554</v>
      </c>
      <c r="T35">
        <v>849.93539993418767</v>
      </c>
      <c r="U35">
        <v>790.98385508016963</v>
      </c>
      <c r="V35" t="s">
        <v>105</v>
      </c>
    </row>
    <row r="36" spans="1:22" x14ac:dyDescent="0.25">
      <c r="A36">
        <v>0.5</v>
      </c>
      <c r="B36">
        <v>5000.2675660665145</v>
      </c>
      <c r="C36">
        <v>4863.8907150066116</v>
      </c>
      <c r="D36">
        <v>4775.5600289768599</v>
      </c>
      <c r="E36">
        <v>4716.1908265826605</v>
      </c>
      <c r="F36">
        <v>4675.9859645961233</v>
      </c>
      <c r="G36">
        <v>4649.3530636474579</v>
      </c>
      <c r="H36">
        <v>4632.8398780390298</v>
      </c>
      <c r="I36">
        <v>4624.2048692210737</v>
      </c>
      <c r="J36">
        <v>4621.9328068282048</v>
      </c>
      <c r="K36" t="s">
        <v>105</v>
      </c>
      <c r="L36">
        <v>0.5</v>
      </c>
      <c r="M36">
        <v>1614.6910234298516</v>
      </c>
      <c r="N36">
        <v>1435.2065010670017</v>
      </c>
      <c r="O36">
        <v>1293.8968839040617</v>
      </c>
      <c r="P36">
        <v>1177.6872833813209</v>
      </c>
      <c r="Q36">
        <v>1079.3908093399875</v>
      </c>
      <c r="R36">
        <v>994.57105688733702</v>
      </c>
      <c r="S36">
        <v>920.27198768228561</v>
      </c>
      <c r="T36">
        <v>854.40833236373658</v>
      </c>
      <c r="U36">
        <v>795.44986138673437</v>
      </c>
      <c r="V36" t="s">
        <v>105</v>
      </c>
    </row>
    <row r="37" spans="1:22" x14ac:dyDescent="0.25">
      <c r="A37">
        <v>0.6</v>
      </c>
      <c r="B37">
        <v>5000.2676502375616</v>
      </c>
      <c r="C37">
        <v>4868.9594393028437</v>
      </c>
      <c r="D37">
        <v>4784.2336900697883</v>
      </c>
      <c r="E37">
        <v>4727.5887726033334</v>
      </c>
      <c r="F37">
        <v>4689.5251767629061</v>
      </c>
      <c r="G37">
        <v>4664.6107036107669</v>
      </c>
      <c r="H37">
        <v>4649.4954618838674</v>
      </c>
      <c r="I37">
        <v>4642.0039967688544</v>
      </c>
      <c r="J37">
        <v>4640.6648405748483</v>
      </c>
      <c r="K37" t="s">
        <v>105</v>
      </c>
      <c r="L37">
        <v>0.6</v>
      </c>
      <c r="M37">
        <v>1614.6910979163074</v>
      </c>
      <c r="N37">
        <v>1437.0627484947233</v>
      </c>
      <c r="O37">
        <v>1296.8699460576095</v>
      </c>
      <c r="P37">
        <v>1181.3529547199039</v>
      </c>
      <c r="Q37">
        <v>1083.4835650549815</v>
      </c>
      <c r="R37">
        <v>998.91709512714351</v>
      </c>
      <c r="S37">
        <v>924.75348053685354</v>
      </c>
      <c r="T37">
        <v>858.94391470687287</v>
      </c>
      <c r="U37">
        <v>799.98316923091238</v>
      </c>
      <c r="V37" t="s">
        <v>105</v>
      </c>
    </row>
    <row r="38" spans="1:22" x14ac:dyDescent="0.25">
      <c r="A38">
        <v>0.7</v>
      </c>
      <c r="B38">
        <v>5000.2677384544922</v>
      </c>
      <c r="C38">
        <v>4874.0419494252028</v>
      </c>
      <c r="D38">
        <v>4792.9478229982496</v>
      </c>
      <c r="E38">
        <v>4739.0589514729445</v>
      </c>
      <c r="F38">
        <v>4703.1642558345548</v>
      </c>
      <c r="G38">
        <v>4679.9952373138676</v>
      </c>
      <c r="H38">
        <v>4666.3025041458723</v>
      </c>
      <c r="I38">
        <v>4659.9763633106122</v>
      </c>
      <c r="J38">
        <v>4659.5895662652629</v>
      </c>
      <c r="L38">
        <v>0.7</v>
      </c>
      <c r="M38">
        <v>1614.6910688906448</v>
      </c>
      <c r="N38">
        <v>1438.9251736945243</v>
      </c>
      <c r="O38">
        <v>1299.860606455198</v>
      </c>
      <c r="P38">
        <v>1185.0481061193016</v>
      </c>
      <c r="Q38">
        <v>1087.6169951695181</v>
      </c>
      <c r="R38">
        <v>1003.3132035749696</v>
      </c>
      <c r="S38">
        <v>929.29275763657643</v>
      </c>
      <c r="T38">
        <v>863.54355506489856</v>
      </c>
      <c r="U38">
        <v>804.5853915753537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v>2.5421468245374728</v>
      </c>
      <c r="C45">
        <v>2.3661004860575834</v>
      </c>
      <c r="D45">
        <v>2.2510631213124142</v>
      </c>
      <c r="E45">
        <v>2.172501565503437</v>
      </c>
      <c r="F45">
        <v>2.1179610108103519</v>
      </c>
      <c r="G45">
        <v>2.0803721842506095</v>
      </c>
      <c r="H45">
        <v>2.0554138322575639</v>
      </c>
      <c r="I45">
        <v>2.0402833978242545</v>
      </c>
      <c r="J45">
        <v>2.0331022034915822</v>
      </c>
      <c r="K45" t="s">
        <v>105</v>
      </c>
      <c r="L45">
        <v>0</v>
      </c>
      <c r="M45">
        <v>1.212775190912021</v>
      </c>
      <c r="N45">
        <v>1.0503576641528858</v>
      </c>
      <c r="O45">
        <v>0.92646500382014485</v>
      </c>
      <c r="P45">
        <v>0.82736492135177209</v>
      </c>
      <c r="Q45">
        <v>0.74561277038127116</v>
      </c>
      <c r="R45">
        <v>0.67667160203456167</v>
      </c>
      <c r="S45">
        <v>0.61755399164400693</v>
      </c>
      <c r="T45">
        <v>0.56617971054927141</v>
      </c>
      <c r="U45">
        <v>0.52103987119257844</v>
      </c>
      <c r="V45" t="s">
        <v>105</v>
      </c>
    </row>
    <row r="46" spans="1:22" x14ac:dyDescent="0.25">
      <c r="A46">
        <v>0.1</v>
      </c>
      <c r="B46">
        <v>2.5421464432353962</v>
      </c>
      <c r="C46">
        <v>2.3692165393743285</v>
      </c>
      <c r="D46">
        <v>2.2560988512466817</v>
      </c>
      <c r="E46">
        <v>2.1788190603189936</v>
      </c>
      <c r="F46">
        <v>2.1251776922030268</v>
      </c>
      <c r="G46">
        <v>2.088242111334393</v>
      </c>
      <c r="H46">
        <v>2.063761568299602</v>
      </c>
      <c r="I46">
        <v>2.0489789867286929</v>
      </c>
      <c r="J46">
        <v>2.0420420052728816</v>
      </c>
      <c r="K46" t="s">
        <v>105</v>
      </c>
      <c r="L46">
        <v>0.1</v>
      </c>
      <c r="M46">
        <v>1.2127740458365868</v>
      </c>
      <c r="N46">
        <v>1.0520514557035532</v>
      </c>
      <c r="O46">
        <v>0.92912446542485705</v>
      </c>
      <c r="P46">
        <v>0.83058790690509232</v>
      </c>
      <c r="Q46">
        <v>0.74915670425054581</v>
      </c>
      <c r="R46">
        <v>0.68038391164458034</v>
      </c>
      <c r="S46">
        <v>0.62133443248923614</v>
      </c>
      <c r="T46">
        <v>0.56996180141127584</v>
      </c>
      <c r="U46">
        <v>0.52477940491774455</v>
      </c>
      <c r="V46" t="s">
        <v>105</v>
      </c>
    </row>
    <row r="47" spans="1:22" x14ac:dyDescent="0.25">
      <c r="A47">
        <v>0.2</v>
      </c>
      <c r="B47">
        <v>2.5421484755149524</v>
      </c>
      <c r="C47">
        <v>2.3723412779824371</v>
      </c>
      <c r="D47">
        <v>2.2611584557851869</v>
      </c>
      <c r="E47">
        <v>2.1851748593686122</v>
      </c>
      <c r="F47">
        <v>2.1324472531629923</v>
      </c>
      <c r="G47">
        <v>2.0961737414808534</v>
      </c>
      <c r="H47">
        <v>2.0721791024952161</v>
      </c>
      <c r="I47">
        <v>2.0577507827076715</v>
      </c>
      <c r="J47">
        <v>2.0510630466286712</v>
      </c>
      <c r="K47" t="s">
        <v>105</v>
      </c>
      <c r="L47">
        <v>0.2</v>
      </c>
      <c r="M47">
        <v>1.2127753792754585</v>
      </c>
      <c r="N47">
        <v>1.0537510809914656</v>
      </c>
      <c r="O47">
        <v>0.93180020983697642</v>
      </c>
      <c r="P47">
        <v>0.83383773350928359</v>
      </c>
      <c r="Q47">
        <v>0.75273764965565682</v>
      </c>
      <c r="R47">
        <v>0.68413997467097909</v>
      </c>
      <c r="S47">
        <v>0.62516459837781424</v>
      </c>
      <c r="T47">
        <v>0.57379829567272189</v>
      </c>
      <c r="U47">
        <v>0.5285767836865598</v>
      </c>
      <c r="V47" t="s">
        <v>105</v>
      </c>
    </row>
    <row r="48" spans="1:22" x14ac:dyDescent="0.25">
      <c r="A48">
        <v>0.3</v>
      </c>
      <c r="B48">
        <v>2.5421470536491704</v>
      </c>
      <c r="C48">
        <v>2.3754748150652247</v>
      </c>
      <c r="D48">
        <v>2.2662418932494748</v>
      </c>
      <c r="E48">
        <v>2.1915696716277298</v>
      </c>
      <c r="F48">
        <v>2.1397678591723466</v>
      </c>
      <c r="G48">
        <v>2.1041679663335047</v>
      </c>
      <c r="H48">
        <v>2.0806676618770452</v>
      </c>
      <c r="I48">
        <v>2.0666003825152863</v>
      </c>
      <c r="J48">
        <v>2.0601670766839657</v>
      </c>
      <c r="K48" t="s">
        <v>105</v>
      </c>
      <c r="L48">
        <v>0.3</v>
      </c>
      <c r="M48">
        <v>1.2127740048660478</v>
      </c>
      <c r="N48">
        <v>1.0554565818055401</v>
      </c>
      <c r="O48">
        <v>0.93449240958027524</v>
      </c>
      <c r="P48">
        <v>0.83711471508528357</v>
      </c>
      <c r="Q48">
        <v>0.75635471791649045</v>
      </c>
      <c r="R48">
        <v>0.68794057194956204</v>
      </c>
      <c r="S48">
        <v>0.62904557352484936</v>
      </c>
      <c r="T48">
        <v>0.57769039872480499</v>
      </c>
      <c r="U48">
        <v>0.5324333854922001</v>
      </c>
      <c r="V48" t="s">
        <v>105</v>
      </c>
    </row>
    <row r="49" spans="1:22" x14ac:dyDescent="0.25">
      <c r="A49">
        <v>0.4</v>
      </c>
      <c r="B49">
        <v>2.5421459375009325</v>
      </c>
      <c r="C49">
        <v>2.3786172301052209</v>
      </c>
      <c r="D49">
        <v>2.2713495319931876</v>
      </c>
      <c r="E49">
        <v>2.1980037819365115</v>
      </c>
      <c r="F49">
        <v>2.1471413444527143</v>
      </c>
      <c r="G49">
        <v>2.1122257694326354</v>
      </c>
      <c r="H49">
        <v>2.0892286931229558</v>
      </c>
      <c r="I49">
        <v>2.0755295319038258</v>
      </c>
      <c r="J49">
        <v>2.0693559470086642</v>
      </c>
      <c r="K49" t="s">
        <v>105</v>
      </c>
      <c r="L49">
        <v>0.4</v>
      </c>
      <c r="M49">
        <v>1.2127748607620961</v>
      </c>
      <c r="N49">
        <v>1.0571679913615861</v>
      </c>
      <c r="O49">
        <v>0.93720120706953769</v>
      </c>
      <c r="P49">
        <v>0.8404192116745216</v>
      </c>
      <c r="Q49">
        <v>0.7600090078507602</v>
      </c>
      <c r="R49">
        <v>0.69178652483987668</v>
      </c>
      <c r="S49">
        <v>0.63297836562476117</v>
      </c>
      <c r="T49">
        <v>0.58163931922015499</v>
      </c>
      <c r="U49">
        <v>0.53635062307664716</v>
      </c>
      <c r="V49" t="s">
        <v>105</v>
      </c>
    </row>
    <row r="50" spans="1:22" x14ac:dyDescent="0.25">
      <c r="A50">
        <v>0.5</v>
      </c>
      <c r="B50">
        <v>2.5421463002760794</v>
      </c>
      <c r="C50">
        <v>2.3817684947078996</v>
      </c>
      <c r="D50">
        <v>2.276481565896566</v>
      </c>
      <c r="E50">
        <v>2.2044798489024133</v>
      </c>
      <c r="F50">
        <v>2.1545681580137814</v>
      </c>
      <c r="G50">
        <v>2.1203482134566127</v>
      </c>
      <c r="H50">
        <v>2.0978636218307272</v>
      </c>
      <c r="I50">
        <v>2.0845397591973671</v>
      </c>
      <c r="J50">
        <v>2.0786318607711394</v>
      </c>
      <c r="K50" t="s">
        <v>105</v>
      </c>
      <c r="L50">
        <v>0.5</v>
      </c>
      <c r="M50">
        <v>1.2127751542174461</v>
      </c>
      <c r="N50">
        <v>1.0588853262691023</v>
      </c>
      <c r="O50">
        <v>0.93992676393499974</v>
      </c>
      <c r="P50">
        <v>0.84375145239133742</v>
      </c>
      <c r="Q50">
        <v>0.76370108479037702</v>
      </c>
      <c r="R50">
        <v>0.69567862870526909</v>
      </c>
      <c r="S50">
        <v>0.6369640094521255</v>
      </c>
      <c r="T50">
        <v>0.58564638411758163</v>
      </c>
      <c r="U50">
        <v>0.54032997260338234</v>
      </c>
      <c r="V50" t="s">
        <v>105</v>
      </c>
    </row>
    <row r="51" spans="1:22" x14ac:dyDescent="0.25">
      <c r="A51">
        <v>0.6</v>
      </c>
      <c r="B51">
        <v>2.542146392226809</v>
      </c>
      <c r="C51">
        <v>2.3849285535000848</v>
      </c>
      <c r="D51">
        <v>2.2816383152659019</v>
      </c>
      <c r="E51">
        <v>2.2109926415897188</v>
      </c>
      <c r="F51">
        <v>2.1620494661763865</v>
      </c>
      <c r="G51">
        <v>2.1285364862515697</v>
      </c>
      <c r="H51">
        <v>2.1065738694323737</v>
      </c>
      <c r="I51">
        <v>2.0936329211284246</v>
      </c>
      <c r="J51">
        <v>2.0879965453217939</v>
      </c>
      <c r="K51" t="s">
        <v>105</v>
      </c>
      <c r="L51">
        <v>0.6</v>
      </c>
      <c r="M51">
        <v>1.2127752238413378</v>
      </c>
      <c r="N51">
        <v>1.0606086014814613</v>
      </c>
      <c r="O51">
        <v>0.94266922735329317</v>
      </c>
      <c r="P51">
        <v>0.84711225547176261</v>
      </c>
      <c r="Q51">
        <v>0.76743160404119271</v>
      </c>
      <c r="R51">
        <v>0.69961772546859091</v>
      </c>
      <c r="S51">
        <v>0.6410036535584166</v>
      </c>
      <c r="T51">
        <v>0.5897128810467106</v>
      </c>
      <c r="U51">
        <v>0.54437294005144032</v>
      </c>
      <c r="V51" t="s">
        <v>105</v>
      </c>
    </row>
    <row r="52" spans="1:22" x14ac:dyDescent="0.25">
      <c r="A52">
        <v>0.7</v>
      </c>
      <c r="B52">
        <v>2.5421464885973637</v>
      </c>
      <c r="C52">
        <v>2.388097553352341</v>
      </c>
      <c r="D52">
        <v>2.2868196709284874</v>
      </c>
      <c r="E52">
        <v>2.2175480713182734</v>
      </c>
      <c r="F52">
        <v>2.169585912008527</v>
      </c>
      <c r="G52">
        <v>2.1367917872233342</v>
      </c>
      <c r="H52">
        <v>2.1153610141868615</v>
      </c>
      <c r="I52">
        <v>2.1028107861338365</v>
      </c>
      <c r="J52">
        <v>2.0974523163332184</v>
      </c>
      <c r="L52">
        <v>0.7</v>
      </c>
      <c r="M52">
        <v>1.2127751967105036</v>
      </c>
      <c r="N52">
        <v>1.0623378698233352</v>
      </c>
      <c r="O52">
        <v>0.94542870423499947</v>
      </c>
      <c r="P52">
        <v>0.850501471063142</v>
      </c>
      <c r="Q52">
        <v>0.7712011512280027</v>
      </c>
      <c r="R52">
        <v>0.70360468830899836</v>
      </c>
      <c r="S52">
        <v>0.64509834077651595</v>
      </c>
      <c r="T52">
        <v>0.59384017691118074</v>
      </c>
      <c r="U52">
        <v>0.54848109132284506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BA4FA-A484-4263-AD07-C1BFF3F9614C}">
  <dimension ref="A2:AG52"/>
  <sheetViews>
    <sheetView tabSelected="1" topLeftCell="A22" workbookViewId="0">
      <selection activeCell="Y27" sqref="Y27"/>
    </sheetView>
  </sheetViews>
  <sheetFormatPr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v>482.94387844120985</v>
      </c>
      <c r="C3">
        <v>463.29949696816823</v>
      </c>
      <c r="D3">
        <v>446.40808185204958</v>
      </c>
      <c r="E3">
        <v>431.54405380605266</v>
      </c>
      <c r="F3">
        <v>418.26262257633999</v>
      </c>
      <c r="G3">
        <v>406.26716464301927</v>
      </c>
      <c r="H3">
        <v>395.34795671866385</v>
      </c>
      <c r="I3">
        <v>385.35018424516306</v>
      </c>
      <c r="J3">
        <v>376.15572456524791</v>
      </c>
      <c r="K3" t="s">
        <v>105</v>
      </c>
      <c r="L3">
        <v>0</v>
      </c>
      <c r="M3">
        <v>288.79737525911736</v>
      </c>
      <c r="N3">
        <v>288.2600841701265</v>
      </c>
      <c r="O3">
        <v>287.17120642443751</v>
      </c>
      <c r="P3">
        <v>285.93167955799584</v>
      </c>
      <c r="Q3">
        <v>284.70897401444682</v>
      </c>
      <c r="R3">
        <v>283.57786855675926</v>
      </c>
      <c r="S3">
        <v>282.57169100717601</v>
      </c>
      <c r="T3">
        <v>281.70378051874621</v>
      </c>
      <c r="U3">
        <v>280.97754998176674</v>
      </c>
      <c r="V3" t="s">
        <v>105</v>
      </c>
      <c r="W3">
        <v>0</v>
      </c>
      <c r="X3">
        <v>194.14650318209249</v>
      </c>
      <c r="Y3">
        <v>175.03941279804172</v>
      </c>
      <c r="Z3">
        <v>159.23687542761209</v>
      </c>
      <c r="AA3">
        <v>145.61237424805682</v>
      </c>
      <c r="AB3">
        <v>133.55364856189308</v>
      </c>
      <c r="AC3">
        <v>122.68929608626001</v>
      </c>
      <c r="AD3">
        <v>112.77626571148787</v>
      </c>
      <c r="AE3">
        <v>103.64640372641685</v>
      </c>
      <c r="AF3">
        <v>95.178174583481237</v>
      </c>
      <c r="AG3" t="s">
        <v>105</v>
      </c>
    </row>
    <row r="4" spans="1:33" x14ac:dyDescent="0.25">
      <c r="A4">
        <v>0.1</v>
      </c>
      <c r="B4">
        <v>482.94387844128039</v>
      </c>
      <c r="C4">
        <v>463.58384714996419</v>
      </c>
      <c r="D4">
        <v>446.92844109061411</v>
      </c>
      <c r="E4">
        <v>432.26654135681497</v>
      </c>
      <c r="F4">
        <v>419.16188232061842</v>
      </c>
      <c r="G4">
        <v>407.32334621299196</v>
      </c>
      <c r="H4">
        <v>396.54499656702882</v>
      </c>
      <c r="I4">
        <v>386.67474608957536</v>
      </c>
      <c r="J4">
        <v>377.59650601525755</v>
      </c>
      <c r="K4" t="s">
        <v>105</v>
      </c>
      <c r="L4">
        <v>0.1</v>
      </c>
      <c r="M4">
        <v>288.79737525918142</v>
      </c>
      <c r="N4">
        <v>288.54997804317412</v>
      </c>
      <c r="O4">
        <v>287.70745735754195</v>
      </c>
      <c r="P4">
        <v>286.68077924900746</v>
      </c>
      <c r="Q4">
        <v>285.64433598171257</v>
      </c>
      <c r="R4">
        <v>284.67785783271819</v>
      </c>
      <c r="S4">
        <v>283.8182714821084</v>
      </c>
      <c r="T4">
        <v>283.08170342627284</v>
      </c>
      <c r="U4">
        <v>282.47365940167509</v>
      </c>
      <c r="V4" t="s">
        <v>105</v>
      </c>
      <c r="W4">
        <v>0.1</v>
      </c>
      <c r="X4">
        <v>194.14650318209902</v>
      </c>
      <c r="Y4">
        <v>175.03386910679004</v>
      </c>
      <c r="Z4">
        <v>159.22098373307219</v>
      </c>
      <c r="AA4">
        <v>145.58576210780745</v>
      </c>
      <c r="AB4">
        <v>133.51754633890582</v>
      </c>
      <c r="AC4">
        <v>122.64548838027378</v>
      </c>
      <c r="AD4">
        <v>112.72672508492039</v>
      </c>
      <c r="AE4">
        <v>103.59304266330255</v>
      </c>
      <c r="AF4">
        <v>95.122846613582453</v>
      </c>
      <c r="AG4" t="s">
        <v>105</v>
      </c>
    </row>
    <row r="5" spans="1:33" x14ac:dyDescent="0.25">
      <c r="A5">
        <v>0.2</v>
      </c>
      <c r="B5">
        <v>482.94387844125538</v>
      </c>
      <c r="C5">
        <v>463.86849107058828</v>
      </c>
      <c r="D5">
        <v>447.44974861726467</v>
      </c>
      <c r="E5">
        <v>432.99080013701075</v>
      </c>
      <c r="F5">
        <v>420.06381025006471</v>
      </c>
      <c r="G5">
        <v>408.38311629616828</v>
      </c>
      <c r="H5">
        <v>397.74653992119738</v>
      </c>
      <c r="I5">
        <v>388.00470431873453</v>
      </c>
      <c r="J5">
        <v>379.04354473156008</v>
      </c>
      <c r="K5" t="s">
        <v>105</v>
      </c>
      <c r="L5">
        <v>0.2</v>
      </c>
      <c r="M5">
        <v>288.7973752591696</v>
      </c>
      <c r="N5">
        <v>288.84043900834746</v>
      </c>
      <c r="O5">
        <v>288.24555853029091</v>
      </c>
      <c r="P5">
        <v>287.43335712457701</v>
      </c>
      <c r="Q5">
        <v>286.58495889578774</v>
      </c>
      <c r="R5">
        <v>285.78493301919195</v>
      </c>
      <c r="S5">
        <v>285.07378680975421</v>
      </c>
      <c r="T5">
        <v>284.47034412956248</v>
      </c>
      <c r="U5">
        <v>283.98220171098029</v>
      </c>
      <c r="V5" t="s">
        <v>105</v>
      </c>
      <c r="W5">
        <v>0.2</v>
      </c>
      <c r="X5">
        <v>194.14650318208578</v>
      </c>
      <c r="Y5">
        <v>175.02805206224076</v>
      </c>
      <c r="Z5">
        <v>159.20419008697377</v>
      </c>
      <c r="AA5">
        <v>145.55744301243368</v>
      </c>
      <c r="AB5">
        <v>133.47885135427694</v>
      </c>
      <c r="AC5">
        <v>122.59818327697633</v>
      </c>
      <c r="AD5">
        <v>112.67275311144316</v>
      </c>
      <c r="AE5">
        <v>103.53436018917198</v>
      </c>
      <c r="AF5">
        <v>95.06134302057977</v>
      </c>
      <c r="AG5" t="s">
        <v>105</v>
      </c>
    </row>
    <row r="6" spans="1:33" x14ac:dyDescent="0.25">
      <c r="A6">
        <v>0.3</v>
      </c>
      <c r="B6">
        <v>482.94387844123071</v>
      </c>
      <c r="C6">
        <v>464.15342950311975</v>
      </c>
      <c r="D6">
        <v>447.97200890222865</v>
      </c>
      <c r="E6">
        <v>433.71684154706958</v>
      </c>
      <c r="F6">
        <v>420.96842745499049</v>
      </c>
      <c r="G6">
        <v>409.44650784568893</v>
      </c>
      <c r="H6">
        <v>398.95263323769825</v>
      </c>
      <c r="I6">
        <v>389.34012008931199</v>
      </c>
      <c r="J6">
        <v>380.49691740959241</v>
      </c>
      <c r="K6" t="s">
        <v>105</v>
      </c>
      <c r="L6">
        <v>0.3</v>
      </c>
      <c r="M6">
        <v>288.79737525913328</v>
      </c>
      <c r="N6">
        <v>289.1314693347133</v>
      </c>
      <c r="O6">
        <v>288.78552225569445</v>
      </c>
      <c r="P6">
        <v>288.18944751390791</v>
      </c>
      <c r="Q6">
        <v>287.53092284515469</v>
      </c>
      <c r="R6">
        <v>286.89921371391512</v>
      </c>
      <c r="S6">
        <v>286.33837508626925</v>
      </c>
      <c r="T6">
        <v>285.86988698222433</v>
      </c>
      <c r="U6">
        <v>285.50341005737266</v>
      </c>
      <c r="V6" t="s">
        <v>105</v>
      </c>
      <c r="W6">
        <v>0.3</v>
      </c>
      <c r="X6">
        <v>194.14650318209738</v>
      </c>
      <c r="Y6">
        <v>175.02196016840642</v>
      </c>
      <c r="Z6">
        <v>159.18648664653415</v>
      </c>
      <c r="AA6">
        <v>145.52739403316173</v>
      </c>
      <c r="AB6">
        <v>133.43750460983583</v>
      </c>
      <c r="AC6">
        <v>122.54729413177381</v>
      </c>
      <c r="AD6">
        <v>112.61425815142898</v>
      </c>
      <c r="AE6">
        <v>103.47023310708771</v>
      </c>
      <c r="AF6">
        <v>94.993507352219709</v>
      </c>
      <c r="AG6" t="s">
        <v>105</v>
      </c>
    </row>
    <row r="7" spans="1:33" x14ac:dyDescent="0.25">
      <c r="A7">
        <v>0.4</v>
      </c>
      <c r="B7">
        <v>482.94387844124208</v>
      </c>
      <c r="C7">
        <v>464.43866322379603</v>
      </c>
      <c r="D7">
        <v>448.49522644974996</v>
      </c>
      <c r="E7">
        <v>434.44467710605511</v>
      </c>
      <c r="F7">
        <v>421.87575529573724</v>
      </c>
      <c r="G7">
        <v>410.51355430525734</v>
      </c>
      <c r="H7">
        <v>400.16332375056459</v>
      </c>
      <c r="I7">
        <v>390.68105568310307</v>
      </c>
      <c r="J7">
        <v>381.95670227113084</v>
      </c>
      <c r="K7" t="s">
        <v>105</v>
      </c>
      <c r="L7">
        <v>0.4</v>
      </c>
      <c r="M7">
        <v>288.79737525906734</v>
      </c>
      <c r="N7">
        <v>289.4230791108775</v>
      </c>
      <c r="O7">
        <v>289.32736251324957</v>
      </c>
      <c r="P7">
        <v>288.94908075896757</v>
      </c>
      <c r="Q7">
        <v>288.48226150674577</v>
      </c>
      <c r="R7">
        <v>288.02079976136326</v>
      </c>
      <c r="S7">
        <v>287.612181007245</v>
      </c>
      <c r="T7">
        <v>287.28052652146334</v>
      </c>
      <c r="U7">
        <v>287.03752685405772</v>
      </c>
      <c r="V7" t="s">
        <v>105</v>
      </c>
      <c r="W7">
        <v>0.4</v>
      </c>
      <c r="X7">
        <v>194.14650318217474</v>
      </c>
      <c r="Y7">
        <v>175.01558411291853</v>
      </c>
      <c r="Z7">
        <v>159.16786393650037</v>
      </c>
      <c r="AA7">
        <v>145.49559634708751</v>
      </c>
      <c r="AB7">
        <v>133.39349378899146</v>
      </c>
      <c r="AC7">
        <v>122.49275454389408</v>
      </c>
      <c r="AD7">
        <v>112.55114274331956</v>
      </c>
      <c r="AE7">
        <v>103.40052916163975</v>
      </c>
      <c r="AF7">
        <v>94.919175417073092</v>
      </c>
      <c r="AG7" t="s">
        <v>105</v>
      </c>
    </row>
    <row r="8" spans="1:33" x14ac:dyDescent="0.25">
      <c r="A8">
        <v>0.5</v>
      </c>
      <c r="B8">
        <v>482.94387844132262</v>
      </c>
      <c r="C8">
        <v>464.72419301249806</v>
      </c>
      <c r="D8">
        <v>449.01940579844859</v>
      </c>
      <c r="E8">
        <v>435.17431845326814</v>
      </c>
      <c r="F8">
        <v>422.78581540712264</v>
      </c>
      <c r="G8">
        <v>411.58428961911085</v>
      </c>
      <c r="H8">
        <v>401.37865948921524</v>
      </c>
      <c r="I8">
        <v>392.02757453547878</v>
      </c>
      <c r="J8">
        <v>383.42297910602753</v>
      </c>
      <c r="K8" t="s">
        <v>105</v>
      </c>
      <c r="L8">
        <v>0.5</v>
      </c>
      <c r="M8">
        <v>288.79737525918461</v>
      </c>
      <c r="N8">
        <v>289.71525427727232</v>
      </c>
      <c r="O8">
        <v>289.87109095756171</v>
      </c>
      <c r="P8">
        <v>289.71231063796364</v>
      </c>
      <c r="Q8">
        <v>289.43906589654421</v>
      </c>
      <c r="R8">
        <v>289.14979542700911</v>
      </c>
      <c r="S8">
        <v>288.89535180298697</v>
      </c>
      <c r="T8">
        <v>288.70245524842261</v>
      </c>
      <c r="U8">
        <v>288.58479896243131</v>
      </c>
      <c r="V8" t="s">
        <v>105</v>
      </c>
      <c r="W8">
        <v>0.5</v>
      </c>
      <c r="X8">
        <v>194.14650318213796</v>
      </c>
      <c r="Y8">
        <v>175.00893873522568</v>
      </c>
      <c r="Z8">
        <v>159.14831484088691</v>
      </c>
      <c r="AA8">
        <v>145.4620078153045</v>
      </c>
      <c r="AB8">
        <v>133.34674951057843</v>
      </c>
      <c r="AC8">
        <v>122.43449419210177</v>
      </c>
      <c r="AD8">
        <v>112.48330768622826</v>
      </c>
      <c r="AE8">
        <v>103.32511928705613</v>
      </c>
      <c r="AF8">
        <v>94.838180143596176</v>
      </c>
      <c r="AG8" t="s">
        <v>105</v>
      </c>
    </row>
    <row r="9" spans="1:33" x14ac:dyDescent="0.25">
      <c r="A9">
        <v>0.6</v>
      </c>
      <c r="B9">
        <v>482.94387844137168</v>
      </c>
      <c r="C9">
        <v>465.01001965211083</v>
      </c>
      <c r="D9">
        <v>449.5445515216216</v>
      </c>
      <c r="E9">
        <v>435.90577735024794</v>
      </c>
      <c r="F9">
        <v>423.69862970355064</v>
      </c>
      <c r="G9">
        <v>412.6587482423401</v>
      </c>
      <c r="H9">
        <v>402.59868929691248</v>
      </c>
      <c r="I9">
        <v>393.37974126476115</v>
      </c>
      <c r="J9">
        <v>384.89582931540599</v>
      </c>
      <c r="K9" t="s">
        <v>105</v>
      </c>
      <c r="L9">
        <v>0.6</v>
      </c>
      <c r="M9">
        <v>288.79737525918415</v>
      </c>
      <c r="N9">
        <v>290.00800050785676</v>
      </c>
      <c r="O9">
        <v>290.41673134377919</v>
      </c>
      <c r="P9">
        <v>290.47914539181266</v>
      </c>
      <c r="Q9">
        <v>290.40139507710666</v>
      </c>
      <c r="R9">
        <v>290.28630360520197</v>
      </c>
      <c r="S9">
        <v>290.18804059613086</v>
      </c>
      <c r="T9">
        <v>290.13587572523068</v>
      </c>
      <c r="U9">
        <v>290.14548198735474</v>
      </c>
      <c r="V9" t="s">
        <v>105</v>
      </c>
      <c r="W9">
        <v>0.6</v>
      </c>
      <c r="X9">
        <v>194.14650318218756</v>
      </c>
      <c r="Y9">
        <v>175.00201914425406</v>
      </c>
      <c r="Z9">
        <v>159.12782017784241</v>
      </c>
      <c r="AA9">
        <v>145.42663195843525</v>
      </c>
      <c r="AB9">
        <v>133.29723462644401</v>
      </c>
      <c r="AC9">
        <v>122.37244463713812</v>
      </c>
      <c r="AD9">
        <v>112.41064870078161</v>
      </c>
      <c r="AE9">
        <v>103.24386553953053</v>
      </c>
      <c r="AF9">
        <v>94.750347328051234</v>
      </c>
      <c r="AG9" t="s">
        <v>105</v>
      </c>
    </row>
    <row r="10" spans="1:33" x14ac:dyDescent="0.25">
      <c r="A10">
        <v>0.7</v>
      </c>
      <c r="B10">
        <v>482.94387844132132</v>
      </c>
      <c r="C10">
        <v>465.29614392890318</v>
      </c>
      <c r="D10">
        <v>450.0706682277937</v>
      </c>
      <c r="E10">
        <v>436.63906568219238</v>
      </c>
      <c r="F10">
        <v>424.61422038389549</v>
      </c>
      <c r="G10">
        <v>413.73696515148333</v>
      </c>
      <c r="H10">
        <v>403.82346284971754</v>
      </c>
      <c r="I10">
        <v>394.73762170256225</v>
      </c>
      <c r="J10">
        <v>386.37533595639024</v>
      </c>
      <c r="L10">
        <v>0.7</v>
      </c>
      <c r="M10">
        <v>288.79737525918495</v>
      </c>
      <c r="N10">
        <v>290.30132953762006</v>
      </c>
      <c r="O10">
        <v>290.96428009696888</v>
      </c>
      <c r="P10">
        <v>291.24963688197465</v>
      </c>
      <c r="Q10">
        <v>291.36931928996353</v>
      </c>
      <c r="R10">
        <v>291.43043675721702</v>
      </c>
      <c r="S10">
        <v>291.49039946571128</v>
      </c>
      <c r="T10">
        <v>291.58098910852345</v>
      </c>
      <c r="U10">
        <v>291.71983729542194</v>
      </c>
      <c r="W10">
        <v>0.7</v>
      </c>
      <c r="X10">
        <v>194.14650318213631</v>
      </c>
      <c r="Y10">
        <v>174.99481439128311</v>
      </c>
      <c r="Z10">
        <v>159.1063881308248</v>
      </c>
      <c r="AA10">
        <v>145.38942880021767</v>
      </c>
      <c r="AB10">
        <v>133.24490109393204</v>
      </c>
      <c r="AC10">
        <v>122.30652839426628</v>
      </c>
      <c r="AD10">
        <v>112.33306338400625</v>
      </c>
      <c r="AE10">
        <v>103.15663259403884</v>
      </c>
      <c r="AF10">
        <v>94.655498660968291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v>1011.2083817929326</v>
      </c>
      <c r="C17">
        <v>1010.4367570091014</v>
      </c>
      <c r="D17">
        <v>1008.3254828840157</v>
      </c>
      <c r="E17">
        <v>1005.8714049384535</v>
      </c>
      <c r="F17">
        <v>1003.4615135750876</v>
      </c>
      <c r="G17">
        <v>1001.2540188506093</v>
      </c>
      <c r="H17">
        <v>999.31096220374445</v>
      </c>
      <c r="I17">
        <v>997.65125824670599</v>
      </c>
      <c r="J17">
        <v>996.27427479398341</v>
      </c>
      <c r="K17" t="s">
        <v>105</v>
      </c>
      <c r="L17">
        <v>0</v>
      </c>
      <c r="M17">
        <v>522.3897653521251</v>
      </c>
      <c r="N17">
        <v>479.79855363096141</v>
      </c>
      <c r="O17">
        <v>444.89122746799751</v>
      </c>
      <c r="P17">
        <v>414.87045123302323</v>
      </c>
      <c r="Q17">
        <v>388.25154009145604</v>
      </c>
      <c r="R17">
        <v>364.15035733496921</v>
      </c>
      <c r="S17">
        <v>341.99649527454937</v>
      </c>
      <c r="T17">
        <v>321.39949915508703</v>
      </c>
      <c r="U17">
        <v>302.07900065330392</v>
      </c>
      <c r="V17" t="s">
        <v>105</v>
      </c>
    </row>
    <row r="18" spans="1:22" x14ac:dyDescent="0.25">
      <c r="A18">
        <v>0.1</v>
      </c>
      <c r="B18">
        <v>1011.2083859789727</v>
      </c>
      <c r="C18">
        <v>1011.4528238465157</v>
      </c>
      <c r="D18">
        <v>1010.1849316768829</v>
      </c>
      <c r="E18">
        <v>1008.4494301584671</v>
      </c>
      <c r="F18">
        <v>1006.6632852187385</v>
      </c>
      <c r="G18">
        <v>1005.0047322914047</v>
      </c>
      <c r="H18">
        <v>1003.5497339411587</v>
      </c>
      <c r="I18">
        <v>1002.3274332651322</v>
      </c>
      <c r="J18">
        <v>1001.3447171085578</v>
      </c>
      <c r="K18" t="s">
        <v>105</v>
      </c>
      <c r="L18">
        <v>0.1</v>
      </c>
      <c r="M18">
        <v>522.38976819601703</v>
      </c>
      <c r="N18">
        <v>479.67785999642848</v>
      </c>
      <c r="O18">
        <v>444.64309758397343</v>
      </c>
      <c r="P18">
        <v>414.49941238534535</v>
      </c>
      <c r="Q18">
        <v>387.76559343136466</v>
      </c>
      <c r="R18">
        <v>363.55838268925908</v>
      </c>
      <c r="S18">
        <v>341.30750564110622</v>
      </c>
      <c r="T18">
        <v>320.62202945239608</v>
      </c>
      <c r="U18">
        <v>301.22124863246989</v>
      </c>
      <c r="V18" t="s">
        <v>105</v>
      </c>
    </row>
    <row r="19" spans="1:22" x14ac:dyDescent="0.25">
      <c r="A19">
        <v>0.2</v>
      </c>
      <c r="B19">
        <v>1011.2083846545661</v>
      </c>
      <c r="C19">
        <v>1012.4711183046888</v>
      </c>
      <c r="D19">
        <v>1012.051547666585</v>
      </c>
      <c r="E19">
        <v>1011.0407936555763</v>
      </c>
      <c r="F19">
        <v>1009.8850789844761</v>
      </c>
      <c r="G19">
        <v>1008.7822699329159</v>
      </c>
      <c r="H19">
        <v>1007.8221213561466</v>
      </c>
      <c r="I19">
        <v>1007.0437791515287</v>
      </c>
      <c r="J19">
        <v>1006.4616200039136</v>
      </c>
      <c r="K19" t="s">
        <v>105</v>
      </c>
      <c r="L19">
        <v>0.2</v>
      </c>
      <c r="M19">
        <v>522.38976254685167</v>
      </c>
      <c r="N19">
        <v>479.55651866567769</v>
      </c>
      <c r="O19">
        <v>444.39279802472009</v>
      </c>
      <c r="P19">
        <v>414.12421129079456</v>
      </c>
      <c r="Q19">
        <v>387.27327805412489</v>
      </c>
      <c r="R19">
        <v>362.95777819094224</v>
      </c>
      <c r="S19">
        <v>340.60749172346561</v>
      </c>
      <c r="T19">
        <v>319.83126032010108</v>
      </c>
      <c r="U19">
        <v>300.34798571972561</v>
      </c>
      <c r="V19" t="s">
        <v>105</v>
      </c>
    </row>
    <row r="20" spans="1:22" x14ac:dyDescent="0.25">
      <c r="A20">
        <v>0.3</v>
      </c>
      <c r="B20">
        <v>1011.2083824810574</v>
      </c>
      <c r="C20">
        <v>1013.4916495208726</v>
      </c>
      <c r="D20">
        <v>1013.9253822456989</v>
      </c>
      <c r="E20">
        <v>1013.6456313470535</v>
      </c>
      <c r="F20">
        <v>1013.1271788512092</v>
      </c>
      <c r="G20">
        <v>1012.5870607937329</v>
      </c>
      <c r="H20">
        <v>1012.1286678535857</v>
      </c>
      <c r="I20">
        <v>1011.8010141824861</v>
      </c>
      <c r="J20">
        <v>1011.6258862596522</v>
      </c>
      <c r="K20" t="s">
        <v>105</v>
      </c>
      <c r="L20">
        <v>0.3</v>
      </c>
      <c r="M20">
        <v>522.38976742650004</v>
      </c>
      <c r="N20">
        <v>479.43453318045556</v>
      </c>
      <c r="O20">
        <v>444.14030563013898</v>
      </c>
      <c r="P20">
        <v>413.74479637210413</v>
      </c>
      <c r="Q20">
        <v>386.77442331890467</v>
      </c>
      <c r="R20">
        <v>362.34831003135355</v>
      </c>
      <c r="S20">
        <v>339.89623870338846</v>
      </c>
      <c r="T20">
        <v>319.02690153599474</v>
      </c>
      <c r="U20">
        <v>299.45885083421007</v>
      </c>
      <c r="V20" t="s">
        <v>105</v>
      </c>
    </row>
    <row r="21" spans="1:22" x14ac:dyDescent="0.25">
      <c r="A21">
        <v>0.4</v>
      </c>
      <c r="B21">
        <v>1011.2083800409788</v>
      </c>
      <c r="C21">
        <v>1014.5144434392265</v>
      </c>
      <c r="D21">
        <v>1015.8064903928783</v>
      </c>
      <c r="E21">
        <v>1016.2640716127179</v>
      </c>
      <c r="F21">
        <v>1016.3897762592057</v>
      </c>
      <c r="G21">
        <v>1016.4194993722189</v>
      </c>
      <c r="H21">
        <v>1016.4699358911417</v>
      </c>
      <c r="I21">
        <v>1016.5998865210403</v>
      </c>
      <c r="J21">
        <v>1016.8384494651295</v>
      </c>
      <c r="K21" t="s">
        <v>105</v>
      </c>
      <c r="L21">
        <v>0.4</v>
      </c>
      <c r="M21">
        <v>522.38981667691871</v>
      </c>
      <c r="N21">
        <v>479.31178319340313</v>
      </c>
      <c r="O21">
        <v>443.88559913816795</v>
      </c>
      <c r="P21">
        <v>413.36113674290289</v>
      </c>
      <c r="Q21">
        <v>386.26906049125</v>
      </c>
      <c r="R21">
        <v>361.72982836920909</v>
      </c>
      <c r="S21">
        <v>339.17352204432558</v>
      </c>
      <c r="T21">
        <v>318.20862814691435</v>
      </c>
      <c r="U21">
        <v>298.55345257042273</v>
      </c>
      <c r="V21" t="s">
        <v>105</v>
      </c>
    </row>
    <row r="22" spans="1:22" x14ac:dyDescent="0.25">
      <c r="A22">
        <v>0.5</v>
      </c>
      <c r="B22">
        <v>1011.2083876289029</v>
      </c>
      <c r="C22">
        <v>1015.5394758347812</v>
      </c>
      <c r="D22">
        <v>1017.694922561252</v>
      </c>
      <c r="E22">
        <v>1018.8962942279023</v>
      </c>
      <c r="F22">
        <v>1019.6731816395649</v>
      </c>
      <c r="G22">
        <v>1020.2799930685167</v>
      </c>
      <c r="H22">
        <v>1020.846500530867</v>
      </c>
      <c r="I22">
        <v>1021.4411495273343</v>
      </c>
      <c r="J22">
        <v>1022.1002646229996</v>
      </c>
      <c r="K22" t="s">
        <v>105</v>
      </c>
      <c r="L22">
        <v>0.5</v>
      </c>
      <c r="M22">
        <v>522.38978787573956</v>
      </c>
      <c r="N22">
        <v>479.18846439757675</v>
      </c>
      <c r="O22">
        <v>443.62866582626253</v>
      </c>
      <c r="P22">
        <v>412.97307368392126</v>
      </c>
      <c r="Q22">
        <v>385.75698971898004</v>
      </c>
      <c r="R22">
        <v>361.10216949061498</v>
      </c>
      <c r="S22">
        <v>338.43909688822072</v>
      </c>
      <c r="T22">
        <v>317.37614328523972</v>
      </c>
      <c r="U22">
        <v>297.63140149600542</v>
      </c>
      <c r="V22" t="s">
        <v>105</v>
      </c>
    </row>
    <row r="23" spans="1:22" x14ac:dyDescent="0.25">
      <c r="A23">
        <v>0.6</v>
      </c>
      <c r="B23">
        <v>1011.2083878848166</v>
      </c>
      <c r="C23">
        <v>1016.5667633153685</v>
      </c>
      <c r="D23">
        <v>1019.5907554250477</v>
      </c>
      <c r="E23">
        <v>1021.5423821594881</v>
      </c>
      <c r="F23">
        <v>1022.9776430901136</v>
      </c>
      <c r="G23">
        <v>1024.1689510531883</v>
      </c>
      <c r="H23">
        <v>1025.2589544801169</v>
      </c>
      <c r="I23">
        <v>1026.3255871342799</v>
      </c>
      <c r="J23">
        <v>1027.412318442374</v>
      </c>
      <c r="K23" t="s">
        <v>105</v>
      </c>
      <c r="L23">
        <v>0.6</v>
      </c>
      <c r="M23">
        <v>522.38984176134875</v>
      </c>
      <c r="N23">
        <v>479.06449653732091</v>
      </c>
      <c r="O23">
        <v>443.36943176089687</v>
      </c>
      <c r="P23">
        <v>412.5806959496465</v>
      </c>
      <c r="Q23">
        <v>385.23812993013337</v>
      </c>
      <c r="R23">
        <v>360.46517139643458</v>
      </c>
      <c r="S23">
        <v>337.69272331585012</v>
      </c>
      <c r="T23">
        <v>316.52911289741024</v>
      </c>
      <c r="U23">
        <v>296.69227621649492</v>
      </c>
      <c r="V23" t="s">
        <v>105</v>
      </c>
    </row>
    <row r="24" spans="1:22" x14ac:dyDescent="0.25">
      <c r="A24">
        <v>0.7</v>
      </c>
      <c r="B24">
        <v>1011.2083871934941</v>
      </c>
      <c r="C24">
        <v>1017.5963335069571</v>
      </c>
      <c r="D24">
        <v>1021.4940074986484</v>
      </c>
      <c r="E24">
        <v>1024.2025123961457</v>
      </c>
      <c r="F24">
        <v>1026.3034334587114</v>
      </c>
      <c r="G24">
        <v>1028.0868058352592</v>
      </c>
      <c r="H24">
        <v>1029.7078953028843</v>
      </c>
      <c r="I24">
        <v>1031.253988721523</v>
      </c>
      <c r="J24">
        <v>1032.7756222340772</v>
      </c>
      <c r="L24">
        <v>0.7</v>
      </c>
      <c r="M24">
        <v>522.38978699003428</v>
      </c>
      <c r="N24">
        <v>478.9398490056289</v>
      </c>
      <c r="O24">
        <v>443.10796025770804</v>
      </c>
      <c r="P24">
        <v>412.18387358459762</v>
      </c>
      <c r="Q24">
        <v>384.71237065860606</v>
      </c>
      <c r="R24">
        <v>359.81865209820063</v>
      </c>
      <c r="S24">
        <v>336.93416525628072</v>
      </c>
      <c r="T24">
        <v>315.66723497905048</v>
      </c>
      <c r="U24">
        <v>295.7356579341523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v>3547.8246591406873</v>
      </c>
      <c r="C31">
        <v>3285.8252853806043</v>
      </c>
      <c r="D31">
        <v>3102.2522643094676</v>
      </c>
      <c r="E31">
        <v>2966.7697208764253</v>
      </c>
      <c r="F31">
        <v>2863.6034463217752</v>
      </c>
      <c r="G31">
        <v>2783.5578987567619</v>
      </c>
      <c r="H31">
        <v>2720.8573990733844</v>
      </c>
      <c r="I31">
        <v>2671.6731996723906</v>
      </c>
      <c r="J31">
        <v>2633.3718370775814</v>
      </c>
      <c r="K31" t="s">
        <v>105</v>
      </c>
      <c r="L31">
        <v>0</v>
      </c>
      <c r="M31">
        <v>1614.6913911633176</v>
      </c>
      <c r="N31">
        <v>1473.8205729588938</v>
      </c>
      <c r="O31">
        <v>1364.7396961320965</v>
      </c>
      <c r="P31">
        <v>1275.2727574859216</v>
      </c>
      <c r="Q31">
        <v>1199.1319777441181</v>
      </c>
      <c r="R31">
        <v>1132.6498107855532</v>
      </c>
      <c r="S31">
        <v>1073.4990309904449</v>
      </c>
      <c r="T31">
        <v>1020.1075782332607</v>
      </c>
      <c r="U31">
        <v>971.36075719994096</v>
      </c>
      <c r="V31" t="s">
        <v>105</v>
      </c>
    </row>
    <row r="32" spans="1:22" x14ac:dyDescent="0.25">
      <c r="A32">
        <v>0.1</v>
      </c>
      <c r="B32">
        <v>3547.8223456493806</v>
      </c>
      <c r="C32">
        <v>3290.1707414664988</v>
      </c>
      <c r="D32">
        <v>3109.5102922434098</v>
      </c>
      <c r="E32">
        <v>2976.1328333299462</v>
      </c>
      <c r="F32">
        <v>2874.5659882674067</v>
      </c>
      <c r="G32">
        <v>2795.7815396397709</v>
      </c>
      <c r="H32">
        <v>2734.1006741231699</v>
      </c>
      <c r="I32">
        <v>2685.7598071120533</v>
      </c>
      <c r="J32">
        <v>2648.1648116221422</v>
      </c>
      <c r="K32" t="s">
        <v>105</v>
      </c>
      <c r="L32">
        <v>0.1</v>
      </c>
      <c r="M32">
        <v>1614.6913416613384</v>
      </c>
      <c r="N32">
        <v>1475.3019569531016</v>
      </c>
      <c r="O32">
        <v>1367.1648916009128</v>
      </c>
      <c r="P32">
        <v>1278.3386209498278</v>
      </c>
      <c r="Q32">
        <v>1202.648886760373</v>
      </c>
      <c r="R32">
        <v>1136.4901832728992</v>
      </c>
      <c r="S32">
        <v>1077.5724727688594</v>
      </c>
      <c r="T32">
        <v>1024.3479757362909</v>
      </c>
      <c r="U32">
        <v>975.7186187082259</v>
      </c>
      <c r="V32" t="s">
        <v>105</v>
      </c>
    </row>
    <row r="33" spans="1:22" x14ac:dyDescent="0.25">
      <c r="A33">
        <v>0.2</v>
      </c>
      <c r="B33">
        <v>3547.8230776183264</v>
      </c>
      <c r="C33">
        <v>3294.5266668530085</v>
      </c>
      <c r="D33">
        <v>3116.7986758563648</v>
      </c>
      <c r="E33">
        <v>2985.5478056194656</v>
      </c>
      <c r="F33">
        <v>2885.6009454293035</v>
      </c>
      <c r="G33">
        <v>2808.0958163779337</v>
      </c>
      <c r="H33">
        <v>2747.4528864059898</v>
      </c>
      <c r="I33">
        <v>2699.9702552929157</v>
      </c>
      <c r="J33">
        <v>2663.0944772142134</v>
      </c>
      <c r="K33" t="s">
        <v>105</v>
      </c>
      <c r="L33">
        <v>0.2</v>
      </c>
      <c r="M33">
        <v>1614.6914399930804</v>
      </c>
      <c r="N33">
        <v>1476.7873958356909</v>
      </c>
      <c r="O33">
        <v>1369.6019710056296</v>
      </c>
      <c r="P33">
        <v>1281.4251554787811</v>
      </c>
      <c r="Q33">
        <v>1206.1949254560479</v>
      </c>
      <c r="R33">
        <v>1140.3675092849924</v>
      </c>
      <c r="S33">
        <v>1081.6901135277083</v>
      </c>
      <c r="T33">
        <v>1028.6390297272858</v>
      </c>
      <c r="U33">
        <v>980.13302475790158</v>
      </c>
      <c r="V33" t="s">
        <v>105</v>
      </c>
    </row>
    <row r="34" spans="1:22" x14ac:dyDescent="0.25">
      <c r="A34">
        <v>0.3</v>
      </c>
      <c r="B34">
        <v>3547.8242788432967</v>
      </c>
      <c r="C34">
        <v>3298.8931148409329</v>
      </c>
      <c r="D34">
        <v>3124.1175008280848</v>
      </c>
      <c r="E34">
        <v>2995.0151562544211</v>
      </c>
      <c r="F34">
        <v>2896.7104236757291</v>
      </c>
      <c r="G34">
        <v>2820.5033115426659</v>
      </c>
      <c r="H34">
        <v>2760.9155690025377</v>
      </c>
      <c r="I34">
        <v>2714.3065916303613</v>
      </c>
      <c r="J34">
        <v>2678.1633643064724</v>
      </c>
      <c r="K34" t="s">
        <v>105</v>
      </c>
      <c r="L34">
        <v>0.3</v>
      </c>
      <c r="M34">
        <v>1614.6913550559102</v>
      </c>
      <c r="N34">
        <v>1478.2768062603034</v>
      </c>
      <c r="O34">
        <v>1372.051099854345</v>
      </c>
      <c r="P34">
        <v>1284.5325622007144</v>
      </c>
      <c r="Q34">
        <v>1209.770657874775</v>
      </c>
      <c r="R34">
        <v>1144.282453415442</v>
      </c>
      <c r="S34">
        <v>1085.8527212616798</v>
      </c>
      <c r="T34">
        <v>1032.9816906867825</v>
      </c>
      <c r="U34">
        <v>984.6050497492356</v>
      </c>
      <c r="V34" t="s">
        <v>105</v>
      </c>
    </row>
    <row r="35" spans="1:22" x14ac:dyDescent="0.25">
      <c r="A35">
        <v>0.4</v>
      </c>
      <c r="B35">
        <v>3547.8256273589141</v>
      </c>
      <c r="C35">
        <v>3303.2717701824135</v>
      </c>
      <c r="D35">
        <v>3131.4670554787235</v>
      </c>
      <c r="E35">
        <v>3004.5350091718801</v>
      </c>
      <c r="F35">
        <v>2907.8929797155602</v>
      </c>
      <c r="G35">
        <v>2833.0052089552769</v>
      </c>
      <c r="H35">
        <v>2774.4905065544481</v>
      </c>
      <c r="I35">
        <v>2728.7712093128334</v>
      </c>
      <c r="J35">
        <v>2693.3742308543024</v>
      </c>
      <c r="K35" t="s">
        <v>105</v>
      </c>
      <c r="L35">
        <v>0.4</v>
      </c>
      <c r="M35">
        <v>1614.6904977816375</v>
      </c>
      <c r="N35">
        <v>1479.7715613074133</v>
      </c>
      <c r="O35">
        <v>1374.5123598394759</v>
      </c>
      <c r="P35">
        <v>1287.6609607970468</v>
      </c>
      <c r="Q35">
        <v>1213.376147801499</v>
      </c>
      <c r="R35">
        <v>1148.2355527135053</v>
      </c>
      <c r="S35">
        <v>1090.0610191453704</v>
      </c>
      <c r="T35">
        <v>1037.3769908355621</v>
      </c>
      <c r="U35">
        <v>989.13585524588916</v>
      </c>
      <c r="V35" t="s">
        <v>105</v>
      </c>
    </row>
    <row r="36" spans="1:22" x14ac:dyDescent="0.25">
      <c r="A36">
        <v>0.5</v>
      </c>
      <c r="B36">
        <v>3547.8214337567151</v>
      </c>
      <c r="C36">
        <v>3307.6590883265853</v>
      </c>
      <c r="D36">
        <v>3138.8473165003115</v>
      </c>
      <c r="E36">
        <v>3014.1095378295795</v>
      </c>
      <c r="F36">
        <v>2919.1514237609676</v>
      </c>
      <c r="G36">
        <v>2845.6028779971093</v>
      </c>
      <c r="H36">
        <v>2788.1794566066951</v>
      </c>
      <c r="I36">
        <v>2743.3662042103606</v>
      </c>
      <c r="J36">
        <v>2708.7298215284623</v>
      </c>
      <c r="K36" t="s">
        <v>105</v>
      </c>
      <c r="L36">
        <v>0.5</v>
      </c>
      <c r="M36">
        <v>1614.6909991077314</v>
      </c>
      <c r="N36">
        <v>1481.2695108294331</v>
      </c>
      <c r="O36">
        <v>1376.9858185546077</v>
      </c>
      <c r="P36">
        <v>1290.8110907220062</v>
      </c>
      <c r="Q36">
        <v>1217.0119448183477</v>
      </c>
      <c r="R36">
        <v>1152.2273764742099</v>
      </c>
      <c r="S36">
        <v>1094.3158905651637</v>
      </c>
      <c r="T36">
        <v>1041.8258857630194</v>
      </c>
      <c r="U36">
        <v>993.72658627447686</v>
      </c>
      <c r="V36" t="s">
        <v>105</v>
      </c>
    </row>
    <row r="37" spans="1:22" x14ac:dyDescent="0.25">
      <c r="A37">
        <v>0.6</v>
      </c>
      <c r="B37">
        <v>3547.8212923154442</v>
      </c>
      <c r="C37">
        <v>3312.0557866920949</v>
      </c>
      <c r="D37">
        <v>3146.2597414557827</v>
      </c>
      <c r="E37">
        <v>3023.736809435055</v>
      </c>
      <c r="F37">
        <v>2930.4860693464084</v>
      </c>
      <c r="G37">
        <v>2858.2974760202292</v>
      </c>
      <c r="H37">
        <v>2801.9843973064226</v>
      </c>
      <c r="I37">
        <v>2758.093993850503</v>
      </c>
      <c r="J37">
        <v>2724.2330454686139</v>
      </c>
      <c r="K37" t="s">
        <v>105</v>
      </c>
      <c r="L37">
        <v>0.6</v>
      </c>
      <c r="M37">
        <v>1614.6900611505157</v>
      </c>
      <c r="N37">
        <v>1482.7716380008494</v>
      </c>
      <c r="O37">
        <v>1379.4718517412884</v>
      </c>
      <c r="P37">
        <v>1293.98253047308</v>
      </c>
      <c r="Q37">
        <v>1220.678463876734</v>
      </c>
      <c r="R37">
        <v>1156.2585608461752</v>
      </c>
      <c r="S37">
        <v>1098.6180744467756</v>
      </c>
      <c r="T37">
        <v>1046.329440462395</v>
      </c>
      <c r="U37">
        <v>998.37851281116275</v>
      </c>
      <c r="V37" t="s">
        <v>105</v>
      </c>
    </row>
    <row r="38" spans="1:22" x14ac:dyDescent="0.25">
      <c r="A38">
        <v>0.7</v>
      </c>
      <c r="B38">
        <v>3547.8216744025863</v>
      </c>
      <c r="C38">
        <v>3316.4641328610946</v>
      </c>
      <c r="D38">
        <v>3153.702378234846</v>
      </c>
      <c r="E38">
        <v>3033.4187843419581</v>
      </c>
      <c r="F38">
        <v>2941.8980226923618</v>
      </c>
      <c r="G38">
        <v>2871.0906932369853</v>
      </c>
      <c r="H38">
        <v>2815.9070857962197</v>
      </c>
      <c r="I38">
        <v>2772.9567543238654</v>
      </c>
      <c r="J38">
        <v>2739.8868565247094</v>
      </c>
      <c r="L38">
        <v>0.7</v>
      </c>
      <c r="M38">
        <v>1614.6910145247011</v>
      </c>
      <c r="N38">
        <v>1484.2779377742036</v>
      </c>
      <c r="O38">
        <v>1381.9701646911724</v>
      </c>
      <c r="P38">
        <v>1297.1757854180501</v>
      </c>
      <c r="Q38">
        <v>1224.3760772928622</v>
      </c>
      <c r="R38">
        <v>1160.3296793419738</v>
      </c>
      <c r="S38">
        <v>1102.9683676989257</v>
      </c>
      <c r="T38">
        <v>1050.8885904504866</v>
      </c>
      <c r="U38">
        <v>1003.0928572031662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v>3.2045046945354692</v>
      </c>
      <c r="C45">
        <v>2.9141870758963</v>
      </c>
      <c r="D45">
        <v>2.711361055626119</v>
      </c>
      <c r="E45">
        <v>2.5619975616195108</v>
      </c>
      <c r="F45">
        <v>2.4484563185563748</v>
      </c>
      <c r="G45">
        <v>2.3604810289348404</v>
      </c>
      <c r="H45">
        <v>2.2916443662966</v>
      </c>
      <c r="I45">
        <v>2.2376940881307128</v>
      </c>
      <c r="J45">
        <v>2.1957105524249516</v>
      </c>
      <c r="K45" t="s">
        <v>105</v>
      </c>
      <c r="L45">
        <v>0</v>
      </c>
      <c r="M45">
        <v>1.2127754979448371</v>
      </c>
      <c r="N45">
        <v>1.0912299961710796</v>
      </c>
      <c r="O45">
        <v>0.9984163688262786</v>
      </c>
      <c r="P45">
        <v>0.92323866605205784</v>
      </c>
      <c r="Q45">
        <v>0.85999492153864321</v>
      </c>
      <c r="R45">
        <v>0.80537239327332766</v>
      </c>
      <c r="S45">
        <v>0.75727603636112195</v>
      </c>
      <c r="T45">
        <v>0.7142948735328527</v>
      </c>
      <c r="U45">
        <v>0.67543138361766597</v>
      </c>
      <c r="V45" t="s">
        <v>105</v>
      </c>
    </row>
    <row r="46" spans="1:22" x14ac:dyDescent="0.25">
      <c r="A46">
        <v>0.1</v>
      </c>
      <c r="B46">
        <v>3.204502126801037</v>
      </c>
      <c r="C46">
        <v>2.9184112134557036</v>
      </c>
      <c r="D46">
        <v>2.7183241477080182</v>
      </c>
      <c r="E46">
        <v>2.5708768703213014</v>
      </c>
      <c r="F46">
        <v>2.4587454533075723</v>
      </c>
      <c r="G46">
        <v>2.3718473384606837</v>
      </c>
      <c r="H46">
        <v>2.3038545922214984</v>
      </c>
      <c r="I46">
        <v>2.2505814661718313</v>
      </c>
      <c r="J46">
        <v>2.2091477263416133</v>
      </c>
      <c r="K46" t="s">
        <v>105</v>
      </c>
      <c r="L46">
        <v>0.1</v>
      </c>
      <c r="M46">
        <v>1.2127754516744087</v>
      </c>
      <c r="N46">
        <v>1.0926095604593806</v>
      </c>
      <c r="O46">
        <v>1.0006675268988725</v>
      </c>
      <c r="P46">
        <v>0.92607596024693262</v>
      </c>
      <c r="Q46">
        <v>0.86324030395044427</v>
      </c>
      <c r="R46">
        <v>0.80890638930915382</v>
      </c>
      <c r="S46">
        <v>0.76101417761823642</v>
      </c>
      <c r="T46">
        <v>0.71817552149574426</v>
      </c>
      <c r="U46">
        <v>0.67940843438472265</v>
      </c>
      <c r="V46" t="s">
        <v>105</v>
      </c>
    </row>
    <row r="47" spans="1:22" x14ac:dyDescent="0.25">
      <c r="A47">
        <v>0.2</v>
      </c>
      <c r="B47">
        <v>3.2045029392103346</v>
      </c>
      <c r="C47">
        <v>2.9226456461560928</v>
      </c>
      <c r="D47">
        <v>2.7253167030107308</v>
      </c>
      <c r="E47">
        <v>2.5798059076023478</v>
      </c>
      <c r="F47">
        <v>2.4691032432694762</v>
      </c>
      <c r="G47">
        <v>2.383298571198551</v>
      </c>
      <c r="H47">
        <v>2.3161661158779969</v>
      </c>
      <c r="I47">
        <v>2.2635828689258672</v>
      </c>
      <c r="J47">
        <v>2.2227095180461047</v>
      </c>
      <c r="K47" t="s">
        <v>105</v>
      </c>
      <c r="L47">
        <v>0.2</v>
      </c>
      <c r="M47">
        <v>1.2127755435869396</v>
      </c>
      <c r="N47">
        <v>1.0939930563745854</v>
      </c>
      <c r="O47">
        <v>1.002930182642968</v>
      </c>
      <c r="P47">
        <v>0.92893320349142761</v>
      </c>
      <c r="Q47">
        <v>0.86651373741432147</v>
      </c>
      <c r="R47">
        <v>0.81247588760934697</v>
      </c>
      <c r="S47">
        <v>0.76479469738862316</v>
      </c>
      <c r="T47">
        <v>0.72210462515876328</v>
      </c>
      <c r="U47">
        <v>0.68343943433115195</v>
      </c>
      <c r="V47" t="s">
        <v>105</v>
      </c>
    </row>
    <row r="48" spans="1:22" x14ac:dyDescent="0.25">
      <c r="A48">
        <v>0.3</v>
      </c>
      <c r="B48">
        <v>3.2045042724449617</v>
      </c>
      <c r="C48">
        <v>2.9268904276925833</v>
      </c>
      <c r="D48">
        <v>2.732338785757134</v>
      </c>
      <c r="E48">
        <v>2.5887851686770298</v>
      </c>
      <c r="F48">
        <v>2.4795318644704278</v>
      </c>
      <c r="G48">
        <v>2.3948373489234474</v>
      </c>
      <c r="H48">
        <v>2.3285803186966145</v>
      </c>
      <c r="I48">
        <v>2.2767001467983072</v>
      </c>
      <c r="J48">
        <v>2.2363982063366521</v>
      </c>
      <c r="K48" t="s">
        <v>105</v>
      </c>
      <c r="L48">
        <v>0.3</v>
      </c>
      <c r="M48">
        <v>1.2127754641945689</v>
      </c>
      <c r="N48">
        <v>1.0953804074630742</v>
      </c>
      <c r="O48">
        <v>1.0052044939187692</v>
      </c>
      <c r="P48">
        <v>0.93181059452221182</v>
      </c>
      <c r="Q48">
        <v>0.86981577361039131</v>
      </c>
      <c r="R48">
        <v>0.81608154520776366</v>
      </c>
      <c r="S48">
        <v>0.76861834408614249</v>
      </c>
      <c r="T48">
        <v>0.7260831119909299</v>
      </c>
      <c r="U48">
        <v>0.68752543655420961</v>
      </c>
      <c r="V48" t="s">
        <v>105</v>
      </c>
    </row>
    <row r="49" spans="1:22" x14ac:dyDescent="0.25">
      <c r="A49">
        <v>0.4</v>
      </c>
      <c r="B49">
        <v>3.2045057691568934</v>
      </c>
      <c r="C49">
        <v>2.9311474140618898</v>
      </c>
      <c r="D49">
        <v>2.7393906834762958</v>
      </c>
      <c r="E49">
        <v>2.5978147137607217</v>
      </c>
      <c r="F49">
        <v>2.4900295909393466</v>
      </c>
      <c r="G49">
        <v>2.4064647529770169</v>
      </c>
      <c r="H49">
        <v>2.3410988515431437</v>
      </c>
      <c r="I49">
        <v>2.2899355184755215</v>
      </c>
      <c r="J49">
        <v>2.2502163056604778</v>
      </c>
      <c r="K49" t="s">
        <v>105</v>
      </c>
      <c r="L49">
        <v>0.4</v>
      </c>
      <c r="M49">
        <v>1.2127746628841711</v>
      </c>
      <c r="N49">
        <v>1.0967728948931228</v>
      </c>
      <c r="O49">
        <v>1.0074905421076017</v>
      </c>
      <c r="P49">
        <v>0.93470825465879048</v>
      </c>
      <c r="Q49">
        <v>0.87314647663817579</v>
      </c>
      <c r="R49">
        <v>0.81972388951020758</v>
      </c>
      <c r="S49">
        <v>0.77248582909361774</v>
      </c>
      <c r="T49">
        <v>0.73011198926906673</v>
      </c>
      <c r="U49">
        <v>0.6916675776502198</v>
      </c>
      <c r="V49" t="s">
        <v>105</v>
      </c>
    </row>
    <row r="50" spans="1:22" x14ac:dyDescent="0.25">
      <c r="A50">
        <v>0.5</v>
      </c>
      <c r="B50">
        <v>3.2045011146951592</v>
      </c>
      <c r="C50">
        <v>2.935412682110472</v>
      </c>
      <c r="D50">
        <v>2.7464723397103366</v>
      </c>
      <c r="E50">
        <v>2.6068968551553851</v>
      </c>
      <c r="F50">
        <v>2.5005993681426437</v>
      </c>
      <c r="G50">
        <v>2.4181820639967073</v>
      </c>
      <c r="H50">
        <v>2.3537233273613687</v>
      </c>
      <c r="I50">
        <v>2.3032908671996877</v>
      </c>
      <c r="J50">
        <v>2.264166302585612</v>
      </c>
      <c r="K50" t="s">
        <v>105</v>
      </c>
      <c r="L50">
        <v>0.5</v>
      </c>
      <c r="M50">
        <v>1.2127751314831041</v>
      </c>
      <c r="N50">
        <v>1.0981685125883842</v>
      </c>
      <c r="O50">
        <v>1.009788394162122</v>
      </c>
      <c r="P50">
        <v>0.9376268895440717</v>
      </c>
      <c r="Q50">
        <v>0.8765063914308252</v>
      </c>
      <c r="R50">
        <v>0.8234034798113391</v>
      </c>
      <c r="S50">
        <v>0.77639801033622824</v>
      </c>
      <c r="T50">
        <v>0.73419219233008903</v>
      </c>
      <c r="U50">
        <v>0.69586698068537356</v>
      </c>
      <c r="V50" t="s">
        <v>105</v>
      </c>
    </row>
    <row r="51" spans="1:22" x14ac:dyDescent="0.25">
      <c r="A51">
        <v>0.6</v>
      </c>
      <c r="B51">
        <v>3.2045009577100831</v>
      </c>
      <c r="C51">
        <v>2.9396870188896354</v>
      </c>
      <c r="D51">
        <v>2.7535853297629092</v>
      </c>
      <c r="E51">
        <v>2.6160293893650421</v>
      </c>
      <c r="F51">
        <v>2.5112413950204839</v>
      </c>
      <c r="G51">
        <v>2.4299903249091881</v>
      </c>
      <c r="H51">
        <v>2.3664555947727113</v>
      </c>
      <c r="I51">
        <v>2.3167684171145657</v>
      </c>
      <c r="J51">
        <v>2.278250848281933</v>
      </c>
      <c r="K51" t="s">
        <v>105</v>
      </c>
      <c r="L51">
        <v>0.6</v>
      </c>
      <c r="M51">
        <v>1.2127742547568621</v>
      </c>
      <c r="N51">
        <v>1.0995681769191858</v>
      </c>
      <c r="O51">
        <v>1.0120984089956253</v>
      </c>
      <c r="P51">
        <v>0.94056610908379401</v>
      </c>
      <c r="Q51">
        <v>0.87989591932327738</v>
      </c>
      <c r="R51">
        <v>0.82712093511076379</v>
      </c>
      <c r="S51">
        <v>0.78035561763798889</v>
      </c>
      <c r="T51">
        <v>0.73832476120827339</v>
      </c>
      <c r="U51">
        <v>0.7001248857628346</v>
      </c>
      <c r="V51" t="s">
        <v>105</v>
      </c>
    </row>
    <row r="52" spans="1:22" x14ac:dyDescent="0.25">
      <c r="A52">
        <v>0.7</v>
      </c>
      <c r="B52">
        <v>3.2045013817870118</v>
      </c>
      <c r="C52">
        <v>2.9439729267838017</v>
      </c>
      <c r="D52">
        <v>2.7607274705274079</v>
      </c>
      <c r="E52">
        <v>2.6252143929668881</v>
      </c>
      <c r="F52">
        <v>2.5219567394945686</v>
      </c>
      <c r="G52">
        <v>2.4418911591975534</v>
      </c>
      <c r="H52">
        <v>2.3792972526145983</v>
      </c>
      <c r="I52">
        <v>2.3303701192609698</v>
      </c>
      <c r="J52">
        <v>2.2924726289482762</v>
      </c>
      <c r="L52">
        <v>0.7</v>
      </c>
      <c r="M52">
        <v>1.2127751458936333</v>
      </c>
      <c r="N52">
        <v>1.1009718896562983</v>
      </c>
      <c r="O52">
        <v>1.0144203096537381</v>
      </c>
      <c r="P52">
        <v>0.94352640229957485</v>
      </c>
      <c r="Q52">
        <v>0.8833154294333605</v>
      </c>
      <c r="R52">
        <v>0.83087682301304111</v>
      </c>
      <c r="S52">
        <v>0.78435943211316039</v>
      </c>
      <c r="T52">
        <v>0.74251061666433193</v>
      </c>
      <c r="U52">
        <v>0.7044424922327297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D482E-1410-4F99-8EAC-93065B7E6338}">
  <dimension ref="A2:AG52"/>
  <sheetViews>
    <sheetView topLeftCell="A25" workbookViewId="0">
      <selection activeCell="M45" sqref="M45:V52"/>
    </sheetView>
  </sheetViews>
  <sheetFormatPr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v>586.17889662603829</v>
      </c>
      <c r="C3">
        <v>569.9732829657703</v>
      </c>
      <c r="D3">
        <v>556.01489744229298</v>
      </c>
      <c r="E3">
        <v>543.87075494587941</v>
      </c>
      <c r="F3">
        <v>533.23692281686863</v>
      </c>
      <c r="G3">
        <v>523.88889391683733</v>
      </c>
      <c r="H3">
        <v>515.65448198062654</v>
      </c>
      <c r="I3">
        <v>508.39775316344219</v>
      </c>
      <c r="J3">
        <v>502.00889163391412</v>
      </c>
      <c r="K3" t="s">
        <v>105</v>
      </c>
      <c r="L3">
        <v>0</v>
      </c>
      <c r="M3">
        <v>470.20541030099412</v>
      </c>
      <c r="N3">
        <v>470.10514215784156</v>
      </c>
      <c r="O3">
        <v>469.91213830637042</v>
      </c>
      <c r="P3">
        <v>469.71264697346299</v>
      </c>
      <c r="Q3">
        <v>469.54192252440362</v>
      </c>
      <c r="R3">
        <v>469.4130709419307</v>
      </c>
      <c r="S3">
        <v>469.3289727066749</v>
      </c>
      <c r="T3">
        <v>469.28762385295158</v>
      </c>
      <c r="U3">
        <v>469.28465511510103</v>
      </c>
      <c r="V3" t="s">
        <v>105</v>
      </c>
      <c r="W3">
        <v>0</v>
      </c>
      <c r="X3">
        <v>115.97348632504415</v>
      </c>
      <c r="Y3">
        <v>99.868140807928654</v>
      </c>
      <c r="Z3">
        <v>86.102759135922497</v>
      </c>
      <c r="AA3">
        <v>74.15810797241636</v>
      </c>
      <c r="AB3">
        <v>63.695000292464997</v>
      </c>
      <c r="AC3">
        <v>54.475822974906563</v>
      </c>
      <c r="AD3">
        <v>46.325509273951582</v>
      </c>
      <c r="AE3">
        <v>39.110129310490606</v>
      </c>
      <c r="AF3">
        <v>32.724236518813086</v>
      </c>
      <c r="AG3" t="s">
        <v>105</v>
      </c>
    </row>
    <row r="4" spans="1:33" x14ac:dyDescent="0.25">
      <c r="A4">
        <v>0.1</v>
      </c>
      <c r="B4">
        <v>586.17889662603329</v>
      </c>
      <c r="C4">
        <v>570.55748787491802</v>
      </c>
      <c r="D4">
        <v>557.07980194395213</v>
      </c>
      <c r="E4">
        <v>545.34018300251842</v>
      </c>
      <c r="F4">
        <v>535.05230408799093</v>
      </c>
      <c r="G4">
        <v>526.00372074997449</v>
      </c>
      <c r="H4">
        <v>518.03088878351718</v>
      </c>
      <c r="I4">
        <v>511.00427925877864</v>
      </c>
      <c r="J4">
        <v>504.81895179663746</v>
      </c>
      <c r="K4" t="s">
        <v>105</v>
      </c>
      <c r="L4">
        <v>0.1</v>
      </c>
      <c r="M4">
        <v>470.205410300994</v>
      </c>
      <c r="N4">
        <v>470.69226615106612</v>
      </c>
      <c r="O4">
        <v>470.9844904322394</v>
      </c>
      <c r="P4">
        <v>471.19304299605574</v>
      </c>
      <c r="Q4">
        <v>471.37022504275234</v>
      </c>
      <c r="R4">
        <v>471.5413177865787</v>
      </c>
      <c r="S4">
        <v>471.71811994962542</v>
      </c>
      <c r="T4">
        <v>471.90534436869035</v>
      </c>
      <c r="U4">
        <v>472.10380028426334</v>
      </c>
      <c r="V4" t="s">
        <v>105</v>
      </c>
      <c r="W4">
        <v>0.1</v>
      </c>
      <c r="X4">
        <v>115.9734863250393</v>
      </c>
      <c r="Y4">
        <v>99.865221723851832</v>
      </c>
      <c r="Z4">
        <v>86.095311511712808</v>
      </c>
      <c r="AA4">
        <v>74.147140006462635</v>
      </c>
      <c r="AB4">
        <v>63.682079045238645</v>
      </c>
      <c r="AC4">
        <v>54.462402963395782</v>
      </c>
      <c r="AD4">
        <v>46.31276883389171</v>
      </c>
      <c r="AE4">
        <v>39.098934890088252</v>
      </c>
      <c r="AF4">
        <v>32.715151512374071</v>
      </c>
      <c r="AG4" t="s">
        <v>105</v>
      </c>
    </row>
    <row r="5" spans="1:33" x14ac:dyDescent="0.25">
      <c r="A5">
        <v>0.2</v>
      </c>
      <c r="B5">
        <v>586.17889662594155</v>
      </c>
      <c r="C5">
        <v>571.14321633584643</v>
      </c>
      <c r="D5">
        <v>558.14960106406681</v>
      </c>
      <c r="E5">
        <v>546.81866535841289</v>
      </c>
      <c r="F5">
        <v>536.88115862101768</v>
      </c>
      <c r="G5">
        <v>528.13642273150583</v>
      </c>
      <c r="H5">
        <v>520.42941045172427</v>
      </c>
      <c r="I5">
        <v>513.63692460785126</v>
      </c>
      <c r="J5">
        <v>507.65886794146672</v>
      </c>
      <c r="K5" t="s">
        <v>105</v>
      </c>
      <c r="L5">
        <v>0.2</v>
      </c>
      <c r="M5">
        <v>470.20541030090186</v>
      </c>
      <c r="N5">
        <v>471.28243798422506</v>
      </c>
      <c r="O5">
        <v>472.06669424767887</v>
      </c>
      <c r="P5">
        <v>472.6917264288781</v>
      </c>
      <c r="Q5">
        <v>473.22579868037542</v>
      </c>
      <c r="R5">
        <v>473.70578418288125</v>
      </c>
      <c r="S5">
        <v>474.15209922059813</v>
      </c>
      <c r="T5">
        <v>474.57602177676335</v>
      </c>
      <c r="U5">
        <v>474.98347034305999</v>
      </c>
      <c r="V5" t="s">
        <v>105</v>
      </c>
      <c r="W5">
        <v>0.2</v>
      </c>
      <c r="X5">
        <v>115.97348632503969</v>
      </c>
      <c r="Y5">
        <v>99.860778351621335</v>
      </c>
      <c r="Z5">
        <v>86.082906816387862</v>
      </c>
      <c r="AA5">
        <v>74.126938929534774</v>
      </c>
      <c r="AB5">
        <v>63.655359940642306</v>
      </c>
      <c r="AC5">
        <v>54.430638548624636</v>
      </c>
      <c r="AD5">
        <v>46.277311231126163</v>
      </c>
      <c r="AE5">
        <v>39.060902831087873</v>
      </c>
      <c r="AF5">
        <v>32.675397598406718</v>
      </c>
      <c r="AG5" t="s">
        <v>105</v>
      </c>
    </row>
    <row r="6" spans="1:33" x14ac:dyDescent="0.25">
      <c r="A6">
        <v>0.3</v>
      </c>
      <c r="B6">
        <v>586.1788966259985</v>
      </c>
      <c r="C6">
        <v>571.73047934452381</v>
      </c>
      <c r="D6">
        <v>559.22435807299746</v>
      </c>
      <c r="E6">
        <v>548.30636149761187</v>
      </c>
      <c r="F6">
        <v>538.7237768933395</v>
      </c>
      <c r="G6">
        <v>530.28744563862881</v>
      </c>
      <c r="H6">
        <v>522.85066330262475</v>
      </c>
      <c r="I6">
        <v>516.29648414315727</v>
      </c>
      <c r="J6">
        <v>510.52961627273515</v>
      </c>
      <c r="K6" t="s">
        <v>105</v>
      </c>
      <c r="L6">
        <v>0.3</v>
      </c>
      <c r="M6">
        <v>470.20541030095808</v>
      </c>
      <c r="N6">
        <v>471.87568961567672</v>
      </c>
      <c r="O6">
        <v>473.15894087802889</v>
      </c>
      <c r="P6">
        <v>474.20918386814475</v>
      </c>
      <c r="Q6">
        <v>475.1095316493649</v>
      </c>
      <c r="R6">
        <v>475.90783685805224</v>
      </c>
      <c r="S6">
        <v>476.63280083404823</v>
      </c>
      <c r="T6">
        <v>477.30209530711539</v>
      </c>
      <c r="U6">
        <v>477.92666222192628</v>
      </c>
      <c r="V6" t="s">
        <v>105</v>
      </c>
      <c r="W6">
        <v>0.3</v>
      </c>
      <c r="X6">
        <v>115.97348632504044</v>
      </c>
      <c r="Y6">
        <v>99.854789728847152</v>
      </c>
      <c r="Z6">
        <v>86.06541719496856</v>
      </c>
      <c r="AA6">
        <v>74.097177629467112</v>
      </c>
      <c r="AB6">
        <v>63.614245243974665</v>
      </c>
      <c r="AC6">
        <v>54.379608780576596</v>
      </c>
      <c r="AD6">
        <v>46.217862468576548</v>
      </c>
      <c r="AE6">
        <v>38.9943888360418</v>
      </c>
      <c r="AF6">
        <v>32.602954050808876</v>
      </c>
      <c r="AG6" t="s">
        <v>105</v>
      </c>
    </row>
    <row r="7" spans="1:33" x14ac:dyDescent="0.25">
      <c r="A7">
        <v>0.4</v>
      </c>
      <c r="B7">
        <v>586.17889662600044</v>
      </c>
      <c r="C7">
        <v>572.31928802407344</v>
      </c>
      <c r="D7">
        <v>560.30413755265567</v>
      </c>
      <c r="E7">
        <v>549.80343541596244</v>
      </c>
      <c r="F7">
        <v>540.58045945982394</v>
      </c>
      <c r="G7">
        <v>532.45725317615995</v>
      </c>
      <c r="H7">
        <v>525.29529141691626</v>
      </c>
      <c r="I7">
        <v>518.98379199944645</v>
      </c>
      <c r="J7">
        <v>513.4322248473535</v>
      </c>
      <c r="K7" t="s">
        <v>105</v>
      </c>
      <c r="L7">
        <v>0.4</v>
      </c>
      <c r="M7">
        <v>470.20541030099406</v>
      </c>
      <c r="N7">
        <v>472.4720537321831</v>
      </c>
      <c r="O7">
        <v>474.26142622488481</v>
      </c>
      <c r="P7">
        <v>475.74591971755916</v>
      </c>
      <c r="Q7">
        <v>477.02235277747843</v>
      </c>
      <c r="R7">
        <v>478.14891551040313</v>
      </c>
      <c r="S7">
        <v>479.16222976624056</v>
      </c>
      <c r="T7">
        <v>480.08616752166319</v>
      </c>
      <c r="U7">
        <v>480.93658763874311</v>
      </c>
      <c r="V7" t="s">
        <v>105</v>
      </c>
      <c r="W7">
        <v>0.4</v>
      </c>
      <c r="X7">
        <v>115.97348632500635</v>
      </c>
      <c r="Y7">
        <v>99.847234291890317</v>
      </c>
      <c r="Z7">
        <v>86.042711327770832</v>
      </c>
      <c r="AA7">
        <v>74.057515698403321</v>
      </c>
      <c r="AB7">
        <v>63.55810668234551</v>
      </c>
      <c r="AC7">
        <v>54.308337665756795</v>
      </c>
      <c r="AD7">
        <v>46.133061650675707</v>
      </c>
      <c r="AE7">
        <v>38.897624477783282</v>
      </c>
      <c r="AF7">
        <v>32.495637208610432</v>
      </c>
      <c r="AG7" t="s">
        <v>105</v>
      </c>
    </row>
    <row r="8" spans="1:33" x14ac:dyDescent="0.25">
      <c r="A8">
        <v>0.5</v>
      </c>
      <c r="B8">
        <v>586.17889662592802</v>
      </c>
      <c r="C8">
        <v>572.90965362678151</v>
      </c>
      <c r="D8">
        <v>561.38900543429736</v>
      </c>
      <c r="E8">
        <v>551.31005579875705</v>
      </c>
      <c r="F8">
        <v>542.45151744004147</v>
      </c>
      <c r="G8">
        <v>534.64632798272328</v>
      </c>
      <c r="H8">
        <v>527.76396838642916</v>
      </c>
      <c r="I8">
        <v>521.69972421934813</v>
      </c>
      <c r="J8">
        <v>516.36777743496305</v>
      </c>
      <c r="K8" t="s">
        <v>105</v>
      </c>
      <c r="L8">
        <v>0.5</v>
      </c>
      <c r="M8">
        <v>470.20541030091653</v>
      </c>
      <c r="N8">
        <v>473.07156452793845</v>
      </c>
      <c r="O8">
        <v>475.37435426225426</v>
      </c>
      <c r="P8">
        <v>477.3024585053488</v>
      </c>
      <c r="Q8">
        <v>478.96523478381931</v>
      </c>
      <c r="R8">
        <v>480.43053499578286</v>
      </c>
      <c r="S8">
        <v>481.74251377318751</v>
      </c>
      <c r="T8">
        <v>482.93101542893982</v>
      </c>
      <c r="U8">
        <v>484.01669444906997</v>
      </c>
      <c r="V8" t="s">
        <v>105</v>
      </c>
      <c r="W8">
        <v>0.5</v>
      </c>
      <c r="X8">
        <v>115.97348632501152</v>
      </c>
      <c r="Y8">
        <v>99.838089098843042</v>
      </c>
      <c r="Z8">
        <v>86.014651172043116</v>
      </c>
      <c r="AA8">
        <v>74.007597293408253</v>
      </c>
      <c r="AB8">
        <v>63.486282656222109</v>
      </c>
      <c r="AC8">
        <v>54.2157929869405</v>
      </c>
      <c r="AD8">
        <v>46.021454613241616</v>
      </c>
      <c r="AE8">
        <v>38.768708790408276</v>
      </c>
      <c r="AF8">
        <v>32.351082985893051</v>
      </c>
      <c r="AG8" t="s">
        <v>105</v>
      </c>
    </row>
    <row r="9" spans="1:33" x14ac:dyDescent="0.25">
      <c r="A9">
        <v>0.6</v>
      </c>
      <c r="B9">
        <v>586.17889662593348</v>
      </c>
      <c r="C9">
        <v>573.50158753621315</v>
      </c>
      <c r="D9">
        <v>562.47902903771899</v>
      </c>
      <c r="E9">
        <v>552.82639620741372</v>
      </c>
      <c r="F9">
        <v>544.33727303599142</v>
      </c>
      <c r="G9">
        <v>536.85517271009724</v>
      </c>
      <c r="H9">
        <v>530.25739920483375</v>
      </c>
      <c r="I9">
        <v>524.44520170187627</v>
      </c>
      <c r="J9">
        <v>519.33741775237866</v>
      </c>
      <c r="K9" t="s">
        <v>105</v>
      </c>
      <c r="L9">
        <v>0.6</v>
      </c>
      <c r="M9">
        <v>470.20541030090379</v>
      </c>
      <c r="N9">
        <v>473.67425740299217</v>
      </c>
      <c r="O9">
        <v>476.49793149662185</v>
      </c>
      <c r="P9">
        <v>478.87934346431967</v>
      </c>
      <c r="Q9">
        <v>480.939197737266</v>
      </c>
      <c r="R9">
        <v>482.75429803352819</v>
      </c>
      <c r="S9">
        <v>484.37591414728496</v>
      </c>
      <c r="T9">
        <v>485.83960833327893</v>
      </c>
      <c r="U9">
        <v>487.17068364551733</v>
      </c>
      <c r="V9" t="s">
        <v>105</v>
      </c>
      <c r="W9">
        <v>0.6</v>
      </c>
      <c r="X9">
        <v>115.9734863250297</v>
      </c>
      <c r="Y9">
        <v>99.827330133220954</v>
      </c>
      <c r="Z9">
        <v>85.981097541097142</v>
      </c>
      <c r="AA9">
        <v>73.947052743093991</v>
      </c>
      <c r="AB9">
        <v>63.398075298725452</v>
      </c>
      <c r="AC9">
        <v>54.100874676569028</v>
      </c>
      <c r="AD9">
        <v>45.881485057548772</v>
      </c>
      <c r="AE9">
        <v>38.605593368597319</v>
      </c>
      <c r="AF9">
        <v>32.166734106861341</v>
      </c>
      <c r="AG9" t="s">
        <v>105</v>
      </c>
    </row>
    <row r="10" spans="1:33" x14ac:dyDescent="0.25">
      <c r="A10">
        <v>0.7</v>
      </c>
      <c r="B10">
        <v>586.17889662603272</v>
      </c>
      <c r="C10">
        <v>574.09510126936436</v>
      </c>
      <c r="D10">
        <v>563.57427711190917</v>
      </c>
      <c r="E10">
        <v>554.3526352757616</v>
      </c>
      <c r="F10">
        <v>546.23806008269344</v>
      </c>
      <c r="G10">
        <v>539.08431118239969</v>
      </c>
      <c r="H10">
        <v>532.7763223157516</v>
      </c>
      <c r="I10">
        <v>527.22119342089991</v>
      </c>
      <c r="J10">
        <v>522.34235411743782</v>
      </c>
      <c r="L10">
        <v>0.7</v>
      </c>
      <c r="M10">
        <v>470.20541030098991</v>
      </c>
      <c r="N10">
        <v>474.28016566988259</v>
      </c>
      <c r="O10">
        <v>477.63237243457735</v>
      </c>
      <c r="P10">
        <v>480.47713985136511</v>
      </c>
      <c r="Q10">
        <v>482.94530976953013</v>
      </c>
      <c r="R10">
        <v>485.12190779902659</v>
      </c>
      <c r="S10">
        <v>487.06483633248905</v>
      </c>
      <c r="T10">
        <v>488.815127322406</v>
      </c>
      <c r="U10">
        <v>490.40254371001811</v>
      </c>
      <c r="W10">
        <v>0.7</v>
      </c>
      <c r="X10">
        <v>115.97348632504281</v>
      </c>
      <c r="Y10">
        <v>99.814935599481828</v>
      </c>
      <c r="Z10">
        <v>85.941904677331806</v>
      </c>
      <c r="AA10">
        <v>73.875495424396433</v>
      </c>
      <c r="AB10">
        <v>63.29275031316336</v>
      </c>
      <c r="AC10">
        <v>53.962403383373115</v>
      </c>
      <c r="AD10">
        <v>45.711485983262548</v>
      </c>
      <c r="AE10">
        <v>38.406066098493973</v>
      </c>
      <c r="AF10">
        <v>31.939810407419674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v>1145.4250388598018</v>
      </c>
      <c r="C17">
        <v>1147.3295194811792</v>
      </c>
      <c r="D17">
        <v>1148.5466561318501</v>
      </c>
      <c r="E17">
        <v>1149.3487712913889</v>
      </c>
      <c r="F17">
        <v>1149.8797085931292</v>
      </c>
      <c r="G17">
        <v>1150.2217143318171</v>
      </c>
      <c r="H17">
        <v>1150.4244434536374</v>
      </c>
      <c r="I17">
        <v>1150.5190734171667</v>
      </c>
      <c r="J17">
        <v>1150.5257488987838</v>
      </c>
      <c r="K17" t="s">
        <v>105</v>
      </c>
      <c r="L17">
        <v>0</v>
      </c>
      <c r="M17">
        <v>509.44399648155269</v>
      </c>
      <c r="N17">
        <v>452.34643094696781</v>
      </c>
      <c r="O17">
        <v>403.24133946002001</v>
      </c>
      <c r="P17">
        <v>360.13271350884963</v>
      </c>
      <c r="Q17">
        <v>321.74804065177796</v>
      </c>
      <c r="R17">
        <v>287.21628047443551</v>
      </c>
      <c r="S17">
        <v>255.90934522045112</v>
      </c>
      <c r="T17">
        <v>227.35674254901932</v>
      </c>
      <c r="U17">
        <v>201.19481446828937</v>
      </c>
      <c r="V17" t="s">
        <v>105</v>
      </c>
    </row>
    <row r="18" spans="1:22" x14ac:dyDescent="0.25">
      <c r="A18">
        <v>0.1</v>
      </c>
      <c r="B18">
        <v>1145.4250398719016</v>
      </c>
      <c r="C18">
        <v>1148.7394400056512</v>
      </c>
      <c r="D18">
        <v>1151.1089757889181</v>
      </c>
      <c r="E18">
        <v>1152.8713151985764</v>
      </c>
      <c r="F18">
        <v>1154.2139080517625</v>
      </c>
      <c r="G18">
        <v>1155.2493216394953</v>
      </c>
      <c r="H18">
        <v>1156.049197911562</v>
      </c>
      <c r="I18">
        <v>1156.6610626013828</v>
      </c>
      <c r="J18">
        <v>1157.1175534803656</v>
      </c>
      <c r="K18" t="s">
        <v>105</v>
      </c>
      <c r="L18">
        <v>0.1</v>
      </c>
      <c r="M18">
        <v>509.44396939172543</v>
      </c>
      <c r="N18">
        <v>451.90032373239819</v>
      </c>
      <c r="O18">
        <v>402.37560870545843</v>
      </c>
      <c r="P18">
        <v>358.88590026752092</v>
      </c>
      <c r="Q18">
        <v>320.16022981649968</v>
      </c>
      <c r="R18">
        <v>285.32552714600342</v>
      </c>
      <c r="S18">
        <v>253.75069074151318</v>
      </c>
      <c r="T18">
        <v>224.96220693730658</v>
      </c>
      <c r="U18">
        <v>198.59347613299198</v>
      </c>
      <c r="V18" t="s">
        <v>105</v>
      </c>
    </row>
    <row r="19" spans="1:22" x14ac:dyDescent="0.25">
      <c r="A19">
        <v>0.2</v>
      </c>
      <c r="B19">
        <v>1145.4249775625267</v>
      </c>
      <c r="C19">
        <v>1150.1572831332608</v>
      </c>
      <c r="D19">
        <v>1153.6967010606613</v>
      </c>
      <c r="E19">
        <v>1156.4406656431515</v>
      </c>
      <c r="F19">
        <v>1158.617405677081</v>
      </c>
      <c r="G19">
        <v>1160.368396893874</v>
      </c>
      <c r="H19">
        <v>1161.7865220347235</v>
      </c>
      <c r="I19">
        <v>1162.9352911166563</v>
      </c>
      <c r="J19">
        <v>1163.8596935859023</v>
      </c>
      <c r="K19" t="s">
        <v>105</v>
      </c>
      <c r="L19">
        <v>0.2</v>
      </c>
      <c r="M19">
        <v>509.44397076176568</v>
      </c>
      <c r="N19">
        <v>451.44855999025805</v>
      </c>
      <c r="O19">
        <v>401.49113839756404</v>
      </c>
      <c r="P19">
        <v>357.60383646041402</v>
      </c>
      <c r="Q19">
        <v>318.51937118866459</v>
      </c>
      <c r="R19">
        <v>283.36380104504002</v>
      </c>
      <c r="S19">
        <v>251.5037152257639</v>
      </c>
      <c r="T19">
        <v>222.46290187682655</v>
      </c>
      <c r="U19">
        <v>195.87203632032418</v>
      </c>
      <c r="V19" t="s">
        <v>105</v>
      </c>
    </row>
    <row r="20" spans="1:22" x14ac:dyDescent="0.25">
      <c r="A20">
        <v>0.3</v>
      </c>
      <c r="B20">
        <v>1145.4250005383469</v>
      </c>
      <c r="C20">
        <v>1151.5831484727191</v>
      </c>
      <c r="D20">
        <v>1156.3103517444035</v>
      </c>
      <c r="E20">
        <v>1160.0581174329864</v>
      </c>
      <c r="F20">
        <v>1163.0925506371311</v>
      </c>
      <c r="G20">
        <v>1165.5825266380343</v>
      </c>
      <c r="H20">
        <v>1167.6413465248213</v>
      </c>
      <c r="I20">
        <v>1169.3480865621798</v>
      </c>
      <c r="J20">
        <v>1170.7598978272651</v>
      </c>
      <c r="K20" t="s">
        <v>105</v>
      </c>
      <c r="L20">
        <v>0.3</v>
      </c>
      <c r="M20">
        <v>509.44402979507106</v>
      </c>
      <c r="N20">
        <v>450.99103001984867</v>
      </c>
      <c r="O20">
        <v>400.58746977622201</v>
      </c>
      <c r="P20">
        <v>356.28535663947548</v>
      </c>
      <c r="Q20">
        <v>316.82329880850227</v>
      </c>
      <c r="R20">
        <v>281.32775430141123</v>
      </c>
      <c r="S20">
        <v>249.16380971178359</v>
      </c>
      <c r="T20">
        <v>219.85288341983926</v>
      </c>
      <c r="U20">
        <v>193.02318545333651</v>
      </c>
      <c r="V20" t="s">
        <v>105</v>
      </c>
    </row>
    <row r="21" spans="1:22" x14ac:dyDescent="0.25">
      <c r="A21">
        <v>0.4</v>
      </c>
      <c r="B21">
        <v>1145.4250359142513</v>
      </c>
      <c r="C21">
        <v>1153.0171334671768</v>
      </c>
      <c r="D21">
        <v>1158.9504644894987</v>
      </c>
      <c r="E21">
        <v>1163.725015574704</v>
      </c>
      <c r="F21">
        <v>1167.6418060384769</v>
      </c>
      <c r="G21">
        <v>1170.8955016859895</v>
      </c>
      <c r="H21">
        <v>1173.6189109451493</v>
      </c>
      <c r="I21">
        <v>1175.906207723732</v>
      </c>
      <c r="J21">
        <v>1177.8264636533502</v>
      </c>
      <c r="K21" t="s">
        <v>105</v>
      </c>
      <c r="L21">
        <v>0.4</v>
      </c>
      <c r="M21">
        <v>509.44391207569151</v>
      </c>
      <c r="N21">
        <v>450.52766660266985</v>
      </c>
      <c r="O21">
        <v>399.66413388535335</v>
      </c>
      <c r="P21">
        <v>354.92924834487991</v>
      </c>
      <c r="Q21">
        <v>315.06974958260423</v>
      </c>
      <c r="R21">
        <v>279.21384976613052</v>
      </c>
      <c r="S21">
        <v>246.72604679494958</v>
      </c>
      <c r="T21">
        <v>217.12574815018647</v>
      </c>
      <c r="U21">
        <v>190.03902770122056</v>
      </c>
      <c r="V21" t="s">
        <v>105</v>
      </c>
    </row>
    <row r="22" spans="1:22" x14ac:dyDescent="0.25">
      <c r="A22">
        <v>0.5</v>
      </c>
      <c r="B22">
        <v>1145.4249827288343</v>
      </c>
      <c r="C22">
        <v>1154.4593321509758</v>
      </c>
      <c r="D22">
        <v>1161.6175822966106</v>
      </c>
      <c r="E22">
        <v>1167.4427599491623</v>
      </c>
      <c r="F22">
        <v>1172.2677551371905</v>
      </c>
      <c r="G22">
        <v>1176.3113290432568</v>
      </c>
      <c r="H22">
        <v>1179.7247886830476</v>
      </c>
      <c r="I22">
        <v>1182.6168866577941</v>
      </c>
      <c r="J22">
        <v>1185.0683097929041</v>
      </c>
      <c r="K22" t="s">
        <v>105</v>
      </c>
      <c r="L22">
        <v>0.5</v>
      </c>
      <c r="M22">
        <v>509.44391845260259</v>
      </c>
      <c r="N22">
        <v>450.05837022448986</v>
      </c>
      <c r="O22">
        <v>398.72062080495806</v>
      </c>
      <c r="P22">
        <v>353.53421341567406</v>
      </c>
      <c r="Q22">
        <v>313.25633413291024</v>
      </c>
      <c r="R22">
        <v>277.01838664572489</v>
      </c>
      <c r="S22">
        <v>244.18517139190502</v>
      </c>
      <c r="T22">
        <v>214.27462751660391</v>
      </c>
      <c r="U22">
        <v>186.91101532522885</v>
      </c>
      <c r="V22" t="s">
        <v>105</v>
      </c>
    </row>
    <row r="23" spans="1:22" x14ac:dyDescent="0.25">
      <c r="A23">
        <v>0.6</v>
      </c>
      <c r="B23">
        <v>1145.4249782611319</v>
      </c>
      <c r="C23">
        <v>1155.9098369716755</v>
      </c>
      <c r="D23">
        <v>1164.3122765354121</v>
      </c>
      <c r="E23">
        <v>1171.2128066697619</v>
      </c>
      <c r="F23">
        <v>1176.973108200199</v>
      </c>
      <c r="G23">
        <v>1181.8342082994272</v>
      </c>
      <c r="H23">
        <v>1185.964913539204</v>
      </c>
      <c r="I23">
        <v>1189.4878695527948</v>
      </c>
      <c r="J23">
        <v>1192.4950555504402</v>
      </c>
      <c r="K23" t="s">
        <v>105</v>
      </c>
      <c r="L23">
        <v>0.6</v>
      </c>
      <c r="M23">
        <v>509.44394613295185</v>
      </c>
      <c r="N23">
        <v>449.58303760302488</v>
      </c>
      <c r="O23">
        <v>397.75643582923686</v>
      </c>
      <c r="P23">
        <v>352.09893244425689</v>
      </c>
      <c r="Q23">
        <v>311.38052615499282</v>
      </c>
      <c r="R23">
        <v>274.73748409182338</v>
      </c>
      <c r="S23">
        <v>241.53555774711566</v>
      </c>
      <c r="T23">
        <v>211.29211351404604</v>
      </c>
      <c r="U23">
        <v>183.6298958335089</v>
      </c>
      <c r="V23" t="s">
        <v>105</v>
      </c>
    </row>
    <row r="24" spans="1:22" x14ac:dyDescent="0.25">
      <c r="A24">
        <v>0.7</v>
      </c>
      <c r="B24">
        <v>1145.4250255758352</v>
      </c>
      <c r="C24">
        <v>1157.3687452602826</v>
      </c>
      <c r="D24">
        <v>1167.0351246585894</v>
      </c>
      <c r="E24">
        <v>1175.0366737677966</v>
      </c>
      <c r="F24">
        <v>1181.7607110650154</v>
      </c>
      <c r="G24">
        <v>1187.4686649330015</v>
      </c>
      <c r="H24">
        <v>1192.3456117901333</v>
      </c>
      <c r="I24">
        <v>1196.5274659503496</v>
      </c>
      <c r="J24">
        <v>1200.1170583159765</v>
      </c>
      <c r="L24">
        <v>0.7</v>
      </c>
      <c r="M24">
        <v>509.44401909742027</v>
      </c>
      <c r="N24">
        <v>449.10165271287252</v>
      </c>
      <c r="O24">
        <v>396.77105895307318</v>
      </c>
      <c r="P24">
        <v>350.62200088145636</v>
      </c>
      <c r="Q24">
        <v>309.43968186723782</v>
      </c>
      <c r="R24">
        <v>272.36665452833199</v>
      </c>
      <c r="S24">
        <v>238.77117727390367</v>
      </c>
      <c r="T24">
        <v>208.1701896183495</v>
      </c>
      <c r="U24">
        <v>180.18562756046236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v>4665.5729419219933</v>
      </c>
      <c r="C31">
        <v>4592.7521306847357</v>
      </c>
      <c r="D31">
        <v>4542.1818798716104</v>
      </c>
      <c r="E31">
        <v>4506.6911124331027</v>
      </c>
      <c r="F31">
        <v>4482.075354052884</v>
      </c>
      <c r="G31">
        <v>4465.6815579660706</v>
      </c>
      <c r="H31">
        <v>4455.7470447705045</v>
      </c>
      <c r="I31">
        <v>4451.0514779124615</v>
      </c>
      <c r="J31">
        <v>4450.7187989576814</v>
      </c>
      <c r="K31" t="s">
        <v>105</v>
      </c>
      <c r="L31">
        <v>0</v>
      </c>
      <c r="M31">
        <v>1804.090485003092</v>
      </c>
      <c r="N31">
        <v>1610.1948160421146</v>
      </c>
      <c r="O31">
        <v>1454.358689685542</v>
      </c>
      <c r="P31">
        <v>1325.0795503232544</v>
      </c>
      <c r="Q31">
        <v>1215.3563523042008</v>
      </c>
      <c r="R31">
        <v>1120.5963038443697</v>
      </c>
      <c r="S31">
        <v>1037.6219342086172</v>
      </c>
      <c r="T31">
        <v>964.14273147462893</v>
      </c>
      <c r="U31">
        <v>898.45781161023206</v>
      </c>
      <c r="V31" t="s">
        <v>105</v>
      </c>
    </row>
    <row r="32" spans="1:22" x14ac:dyDescent="0.25">
      <c r="A32">
        <v>0.1</v>
      </c>
      <c r="B32">
        <v>4665.5729049496849</v>
      </c>
      <c r="C32">
        <v>4598.2376902382011</v>
      </c>
      <c r="D32">
        <v>4551.6294475984459</v>
      </c>
      <c r="E32">
        <v>4519.1353964706313</v>
      </c>
      <c r="F32">
        <v>4496.8529643674019</v>
      </c>
      <c r="G32">
        <v>4482.3120135468234</v>
      </c>
      <c r="H32">
        <v>4473.862981647665</v>
      </c>
      <c r="I32">
        <v>4470.3611635867128</v>
      </c>
      <c r="J32">
        <v>4470.9824218039394</v>
      </c>
      <c r="K32" t="s">
        <v>105</v>
      </c>
      <c r="L32">
        <v>0.1</v>
      </c>
      <c r="M32">
        <v>1804.0908301558677</v>
      </c>
      <c r="N32">
        <v>1614.6318778964849</v>
      </c>
      <c r="O32">
        <v>1461.4697930172763</v>
      </c>
      <c r="P32">
        <v>1333.8289641031195</v>
      </c>
      <c r="Q32">
        <v>1225.0958643022202</v>
      </c>
      <c r="R32">
        <v>1130.9032770556018</v>
      </c>
      <c r="S32">
        <v>1048.2138754661373</v>
      </c>
      <c r="T32">
        <v>974.82703496185536</v>
      </c>
      <c r="U32">
        <v>909.10231299541942</v>
      </c>
      <c r="V32" t="s">
        <v>105</v>
      </c>
    </row>
    <row r="33" spans="1:22" x14ac:dyDescent="0.25">
      <c r="A33">
        <v>0.2</v>
      </c>
      <c r="B33">
        <v>4665.5751811288083</v>
      </c>
      <c r="C33">
        <v>4603.7556221748619</v>
      </c>
      <c r="D33">
        <v>4561.1720757453013</v>
      </c>
      <c r="E33">
        <v>4531.7445662055243</v>
      </c>
      <c r="F33">
        <v>4511.8643456223399</v>
      </c>
      <c r="G33">
        <v>4499.2393967865582</v>
      </c>
      <c r="H33">
        <v>4492.3324329987008</v>
      </c>
      <c r="I33">
        <v>4490.0744160558397</v>
      </c>
      <c r="J33">
        <v>4491.6932247589093</v>
      </c>
      <c r="K33" t="s">
        <v>105</v>
      </c>
      <c r="L33">
        <v>0.2</v>
      </c>
      <c r="M33">
        <v>1804.0908127001228</v>
      </c>
      <c r="N33">
        <v>1619.1010342085438</v>
      </c>
      <c r="O33">
        <v>1468.6739284005903</v>
      </c>
      <c r="P33">
        <v>1342.7342982589103</v>
      </c>
      <c r="Q33">
        <v>1235.0473698786793</v>
      </c>
      <c r="R33">
        <v>1141.4696432940784</v>
      </c>
      <c r="S33">
        <v>1059.103529571591</v>
      </c>
      <c r="T33">
        <v>985.83923481829697</v>
      </c>
      <c r="U33">
        <v>920.09771015168508</v>
      </c>
      <c r="V33" t="s">
        <v>105</v>
      </c>
    </row>
    <row r="34" spans="1:22" x14ac:dyDescent="0.25">
      <c r="A34">
        <v>0.3</v>
      </c>
      <c r="B34">
        <v>4665.5743418163211</v>
      </c>
      <c r="C34">
        <v>4609.3059171598434</v>
      </c>
      <c r="D34">
        <v>4570.8115891670523</v>
      </c>
      <c r="E34">
        <v>4544.5233163051998</v>
      </c>
      <c r="F34">
        <v>4527.1174743513757</v>
      </c>
      <c r="G34">
        <v>4516.4754570374143</v>
      </c>
      <c r="H34">
        <v>4511.1709589444044</v>
      </c>
      <c r="I34">
        <v>4510.2105591553682</v>
      </c>
      <c r="J34">
        <v>4512.8742732386709</v>
      </c>
      <c r="K34" t="s">
        <v>105</v>
      </c>
      <c r="L34">
        <v>0.3</v>
      </c>
      <c r="M34">
        <v>1804.0900605537836</v>
      </c>
      <c r="N34">
        <v>1623.6030395918958</v>
      </c>
      <c r="O34">
        <v>1475.9730590105294</v>
      </c>
      <c r="P34">
        <v>1351.7999190590112</v>
      </c>
      <c r="Q34">
        <v>1245.2183692219567</v>
      </c>
      <c r="R34">
        <v>1152.3060641184027</v>
      </c>
      <c r="S34">
        <v>1070.3044554158128</v>
      </c>
      <c r="T34">
        <v>997.19565060140235</v>
      </c>
      <c r="U34">
        <v>931.46282457474342</v>
      </c>
      <c r="V34" t="s">
        <v>105</v>
      </c>
    </row>
    <row r="35" spans="1:22" x14ac:dyDescent="0.25">
      <c r="A35">
        <v>0.4</v>
      </c>
      <c r="B35">
        <v>4665.5730495239559</v>
      </c>
      <c r="C35">
        <v>4614.8886970668109</v>
      </c>
      <c r="D35">
        <v>4580.5497701150935</v>
      </c>
      <c r="E35">
        <v>4557.4764990870117</v>
      </c>
      <c r="F35">
        <v>4542.620644396723</v>
      </c>
      <c r="G35">
        <v>4534.0324541335376</v>
      </c>
      <c r="H35">
        <v>4530.395096909976</v>
      </c>
      <c r="I35">
        <v>4530.7903834265189</v>
      </c>
      <c r="J35">
        <v>4534.5503940745311</v>
      </c>
      <c r="K35" t="s">
        <v>105</v>
      </c>
      <c r="L35">
        <v>0.4</v>
      </c>
      <c r="M35">
        <v>1804.0915604217043</v>
      </c>
      <c r="N35">
        <v>1628.1381895293976</v>
      </c>
      <c r="O35">
        <v>1483.3691914845426</v>
      </c>
      <c r="P35">
        <v>1361.0303576664139</v>
      </c>
      <c r="Q35">
        <v>1255.6166472944194</v>
      </c>
      <c r="R35">
        <v>1163.4237702506261</v>
      </c>
      <c r="S35">
        <v>1081.8311021156276</v>
      </c>
      <c r="T35">
        <v>1008.9137818597171</v>
      </c>
      <c r="U35">
        <v>943.21788707370831</v>
      </c>
      <c r="V35" t="s">
        <v>105</v>
      </c>
    </row>
    <row r="36" spans="1:22" x14ac:dyDescent="0.25">
      <c r="A36">
        <v>0.5</v>
      </c>
      <c r="B36">
        <v>4665.5749924024121</v>
      </c>
      <c r="C36">
        <v>4620.5043253329231</v>
      </c>
      <c r="D36">
        <v>4590.3889090655375</v>
      </c>
      <c r="E36">
        <v>4570.6091842270844</v>
      </c>
      <c r="F36">
        <v>4558.3825634127734</v>
      </c>
      <c r="G36">
        <v>4551.9230615085808</v>
      </c>
      <c r="H36">
        <v>4550.0223836764153</v>
      </c>
      <c r="I36">
        <v>4551.8360038061974</v>
      </c>
      <c r="J36">
        <v>4556.7484760958778</v>
      </c>
      <c r="K36" t="s">
        <v>105</v>
      </c>
      <c r="L36">
        <v>0.5</v>
      </c>
      <c r="M36">
        <v>1804.0914791732471</v>
      </c>
      <c r="N36">
        <v>1632.7070626107932</v>
      </c>
      <c r="O36">
        <v>1490.8645091629328</v>
      </c>
      <c r="P36">
        <v>1370.4305587591423</v>
      </c>
      <c r="Q36">
        <v>1266.2504130097204</v>
      </c>
      <c r="R36">
        <v>1174.8344281230688</v>
      </c>
      <c r="S36">
        <v>1093.6988114386795</v>
      </c>
      <c r="T36">
        <v>1021.012326128456</v>
      </c>
      <c r="U36">
        <v>955.38466589492396</v>
      </c>
      <c r="V36" t="s">
        <v>105</v>
      </c>
    </row>
    <row r="37" spans="1:22" x14ac:dyDescent="0.25">
      <c r="A37">
        <v>0.6</v>
      </c>
      <c r="B37">
        <v>4665.5751556085788</v>
      </c>
      <c r="C37">
        <v>4626.1533277855106</v>
      </c>
      <c r="D37">
        <v>4600.3307664748936</v>
      </c>
      <c r="E37">
        <v>4583.9265283422119</v>
      </c>
      <c r="F37">
        <v>4574.4124508164841</v>
      </c>
      <c r="G37">
        <v>4570.1618005354694</v>
      </c>
      <c r="H37">
        <v>4570.0715186602547</v>
      </c>
      <c r="I37">
        <v>4573.37118291151</v>
      </c>
      <c r="J37">
        <v>4579.4969137998251</v>
      </c>
      <c r="K37" t="s">
        <v>105</v>
      </c>
      <c r="L37">
        <v>0.6</v>
      </c>
      <c r="M37">
        <v>1804.0911264968961</v>
      </c>
      <c r="N37">
        <v>1637.3102411542675</v>
      </c>
      <c r="O37">
        <v>1498.4611282684843</v>
      </c>
      <c r="P37">
        <v>1380.005449790091</v>
      </c>
      <c r="Q37">
        <v>1277.1283191865637</v>
      </c>
      <c r="R37">
        <v>1186.5498159954402</v>
      </c>
      <c r="S37">
        <v>1105.9239414757269</v>
      </c>
      <c r="T37">
        <v>1033.5113649594014</v>
      </c>
      <c r="U37">
        <v>967.98676542991996</v>
      </c>
      <c r="V37" t="s">
        <v>105</v>
      </c>
    </row>
    <row r="38" spans="1:22" x14ac:dyDescent="0.25">
      <c r="A38">
        <v>0.7</v>
      </c>
      <c r="B38">
        <v>4665.5734271895844</v>
      </c>
      <c r="C38">
        <v>4631.8358977683829</v>
      </c>
      <c r="D38">
        <v>4610.3776186642572</v>
      </c>
      <c r="E38">
        <v>4597.433882895104</v>
      </c>
      <c r="F38">
        <v>4590.7199058707174</v>
      </c>
      <c r="G38">
        <v>4588.7628520338631</v>
      </c>
      <c r="H38">
        <v>4590.5624037389325</v>
      </c>
      <c r="I38">
        <v>4595.4215900561821</v>
      </c>
      <c r="J38">
        <v>4602.8271026925004</v>
      </c>
      <c r="L38">
        <v>0.7</v>
      </c>
      <c r="M38">
        <v>1804.090196853145</v>
      </c>
      <c r="N38">
        <v>1641.9474815008896</v>
      </c>
      <c r="O38">
        <v>1506.1612074925381</v>
      </c>
      <c r="P38">
        <v>1389.760354286595</v>
      </c>
      <c r="Q38">
        <v>1288.2593629683086</v>
      </c>
      <c r="R38">
        <v>1198.584658956366</v>
      </c>
      <c r="S38">
        <v>1118.5239664607363</v>
      </c>
      <c r="T38">
        <v>1046.4325348109066</v>
      </c>
      <c r="U38">
        <v>981.04949570581789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v>2.1782891516422476</v>
      </c>
      <c r="C45">
        <v>2.0996326552341515</v>
      </c>
      <c r="D45">
        <v>2.0451278828997581</v>
      </c>
      <c r="E45">
        <v>2.0069358247815146</v>
      </c>
      <c r="F45">
        <v>1.980476366623751</v>
      </c>
      <c r="G45">
        <v>1.9628685252472149</v>
      </c>
      <c r="H45">
        <v>1.952203764237106</v>
      </c>
      <c r="I45">
        <v>1.9471644884976425</v>
      </c>
      <c r="J45">
        <v>1.9468074932164721</v>
      </c>
      <c r="K45" t="s">
        <v>105</v>
      </c>
      <c r="L45">
        <v>0</v>
      </c>
      <c r="M45">
        <v>1.3908282289518223</v>
      </c>
      <c r="N45">
        <v>1.2216076599677086</v>
      </c>
      <c r="O45">
        <v>1.087867415851931</v>
      </c>
      <c r="P45">
        <v>0.97866914381108006</v>
      </c>
      <c r="Q45">
        <v>0.88738369467825817</v>
      </c>
      <c r="R45">
        <v>0.80968197393578845</v>
      </c>
      <c r="S45">
        <v>0.74258328509272808</v>
      </c>
      <c r="T45">
        <v>0.68394974627472072</v>
      </c>
      <c r="U45">
        <v>0.6322019609182713</v>
      </c>
      <c r="V45" t="s">
        <v>105</v>
      </c>
    </row>
    <row r="46" spans="1:22" x14ac:dyDescent="0.25">
      <c r="A46">
        <v>0.1</v>
      </c>
      <c r="B46">
        <v>2.1782891116575551</v>
      </c>
      <c r="C46">
        <v>2.1029881263632353</v>
      </c>
      <c r="D46">
        <v>2.0506680894749807</v>
      </c>
      <c r="E46">
        <v>2.0139711454993994</v>
      </c>
      <c r="F46">
        <v>1.9885636006264369</v>
      </c>
      <c r="G46">
        <v>1.9717069422593123</v>
      </c>
      <c r="H46">
        <v>1.9615751240634645</v>
      </c>
      <c r="I46">
        <v>1.9569027250172708</v>
      </c>
      <c r="J46">
        <v>1.9567800585811239</v>
      </c>
      <c r="K46" t="s">
        <v>105</v>
      </c>
      <c r="L46">
        <v>0.1</v>
      </c>
      <c r="M46">
        <v>1.3908285551393744</v>
      </c>
      <c r="N46">
        <v>1.2257766127688343</v>
      </c>
      <c r="O46">
        <v>1.0945125188079783</v>
      </c>
      <c r="P46">
        <v>0.98680325658663925</v>
      </c>
      <c r="Q46">
        <v>0.89639419139453047</v>
      </c>
      <c r="R46">
        <v>0.81917318254021509</v>
      </c>
      <c r="S46">
        <v>0.75229348500553583</v>
      </c>
      <c r="T46">
        <v>0.69370257093551813</v>
      </c>
      <c r="U46">
        <v>0.64187798654025174</v>
      </c>
      <c r="V46" t="s">
        <v>105</v>
      </c>
    </row>
    <row r="47" spans="1:22" x14ac:dyDescent="0.25">
      <c r="A47">
        <v>0.2</v>
      </c>
      <c r="B47">
        <v>2.1782915732925257</v>
      </c>
      <c r="C47">
        <v>2.1063643564571986</v>
      </c>
      <c r="D47">
        <v>2.0562654082997143</v>
      </c>
      <c r="E47">
        <v>2.0211004821813803</v>
      </c>
      <c r="F47">
        <v>1.9967785916317367</v>
      </c>
      <c r="G47">
        <v>1.9807011379488408</v>
      </c>
      <c r="H47">
        <v>1.9711250119505768</v>
      </c>
      <c r="I47">
        <v>1.9668376798283522</v>
      </c>
      <c r="J47">
        <v>1.9669633617747742</v>
      </c>
      <c r="K47" t="s">
        <v>105</v>
      </c>
      <c r="L47">
        <v>0.2</v>
      </c>
      <c r="M47">
        <v>1.3908285386427779</v>
      </c>
      <c r="N47">
        <v>1.2299768835481297</v>
      </c>
      <c r="O47">
        <v>1.101248094945678</v>
      </c>
      <c r="P47">
        <v>0.99508854250185097</v>
      </c>
      <c r="Q47">
        <v>0.90560963299005248</v>
      </c>
      <c r="R47">
        <v>0.82891442303994289</v>
      </c>
      <c r="S47">
        <v>0.76228982881164598</v>
      </c>
      <c r="T47">
        <v>0.70376966052285228</v>
      </c>
      <c r="U47">
        <v>0.65188939383874644</v>
      </c>
      <c r="V47" t="s">
        <v>105</v>
      </c>
    </row>
    <row r="48" spans="1:22" x14ac:dyDescent="0.25">
      <c r="A48">
        <v>0.3</v>
      </c>
      <c r="B48">
        <v>2.1782906655954961</v>
      </c>
      <c r="C48">
        <v>2.1097611754024399</v>
      </c>
      <c r="D48">
        <v>2.0619208870381867</v>
      </c>
      <c r="E48">
        <v>2.0283265785377735</v>
      </c>
      <c r="F48">
        <v>2.0051257258698962</v>
      </c>
      <c r="G48">
        <v>1.9898573251157301</v>
      </c>
      <c r="H48">
        <v>1.9808613087140321</v>
      </c>
      <c r="I48">
        <v>1.9769787485782193</v>
      </c>
      <c r="J48">
        <v>1.9773682708962255</v>
      </c>
      <c r="K48" t="s">
        <v>105</v>
      </c>
      <c r="L48">
        <v>0.3</v>
      </c>
      <c r="M48">
        <v>1.3908278278248882</v>
      </c>
      <c r="N48">
        <v>1.2342091987193646</v>
      </c>
      <c r="O48">
        <v>1.1080760804831971</v>
      </c>
      <c r="P48">
        <v>1.0035293085487695</v>
      </c>
      <c r="Q48">
        <v>0.91503739003992968</v>
      </c>
      <c r="R48">
        <v>0.83891615072916992</v>
      </c>
      <c r="S48">
        <v>0.77258559401317195</v>
      </c>
      <c r="T48">
        <v>0.71416696425198989</v>
      </c>
      <c r="U48">
        <v>0.66225453964859782</v>
      </c>
      <c r="V48" t="s">
        <v>105</v>
      </c>
    </row>
    <row r="49" spans="1:22" x14ac:dyDescent="0.25">
      <c r="A49">
        <v>0.4</v>
      </c>
      <c r="B49">
        <v>2.1782892680112727</v>
      </c>
      <c r="C49">
        <v>2.113178552709976</v>
      </c>
      <c r="D49">
        <v>2.067635501422783</v>
      </c>
      <c r="E49">
        <v>2.0356522597802322</v>
      </c>
      <c r="F49">
        <v>2.0136095302655272</v>
      </c>
      <c r="G49">
        <v>1.9991819054921174</v>
      </c>
      <c r="H49">
        <v>1.9907923915514025</v>
      </c>
      <c r="I49">
        <v>1.9873361225948574</v>
      </c>
      <c r="J49">
        <v>1.9880065188480351</v>
      </c>
      <c r="K49" t="s">
        <v>105</v>
      </c>
      <c r="L49">
        <v>0.4</v>
      </c>
      <c r="M49">
        <v>1.390829245279062</v>
      </c>
      <c r="N49">
        <v>1.2384738541650995</v>
      </c>
      <c r="O49">
        <v>1.1149984551347838</v>
      </c>
      <c r="P49">
        <v>1.0121300257018133</v>
      </c>
      <c r="Q49">
        <v>0.92468511997900493</v>
      </c>
      <c r="R49">
        <v>0.849189385081347</v>
      </c>
      <c r="S49">
        <v>0.78319493590842615</v>
      </c>
      <c r="T49">
        <v>0.72491159427431784</v>
      </c>
      <c r="U49">
        <v>0.6729931702831784</v>
      </c>
      <c r="V49" t="s">
        <v>105</v>
      </c>
    </row>
    <row r="50" spans="1:22" x14ac:dyDescent="0.25">
      <c r="A50">
        <v>0.5</v>
      </c>
      <c r="B50">
        <v>2.178291369189298</v>
      </c>
      <c r="C50">
        <v>2.116616714275573</v>
      </c>
      <c r="D50">
        <v>2.0734107453707695</v>
      </c>
      <c r="E50">
        <v>2.04308048696232</v>
      </c>
      <c r="F50">
        <v>2.0222347624525212</v>
      </c>
      <c r="G50">
        <v>2.0086813482169252</v>
      </c>
      <c r="H50">
        <v>2.0009271147762875</v>
      </c>
      <c r="I50">
        <v>1.9979205692923905</v>
      </c>
      <c r="J50">
        <v>1.9988909274401701</v>
      </c>
      <c r="K50" t="s">
        <v>105</v>
      </c>
      <c r="L50">
        <v>0.5</v>
      </c>
      <c r="M50">
        <v>1.3908291684949863</v>
      </c>
      <c r="N50">
        <v>1.2427714128175678</v>
      </c>
      <c r="O50">
        <v>1.1220173695453191</v>
      </c>
      <c r="P50">
        <v>1.0208955614454811</v>
      </c>
      <c r="Q50">
        <v>0.93456089807751153</v>
      </c>
      <c r="R50">
        <v>0.85974558790331379</v>
      </c>
      <c r="S50">
        <v>0.79413289445736635</v>
      </c>
      <c r="T50">
        <v>0.73602184689751071</v>
      </c>
      <c r="U50">
        <v>0.68412655096180075</v>
      </c>
      <c r="V50" t="s">
        <v>105</v>
      </c>
    </row>
    <row r="51" spans="1:22" x14ac:dyDescent="0.25">
      <c r="A51">
        <v>0.6</v>
      </c>
      <c r="B51">
        <v>2.1782915456929879</v>
      </c>
      <c r="C51">
        <v>2.1200760573468744</v>
      </c>
      <c r="D51">
        <v>2.0792475151367924</v>
      </c>
      <c r="E51">
        <v>2.0506142190371817</v>
      </c>
      <c r="F51">
        <v>2.0310065014671657</v>
      </c>
      <c r="G51">
        <v>2.018363725148753</v>
      </c>
      <c r="H51">
        <v>2.0112749349422852</v>
      </c>
      <c r="I51">
        <v>2.0087436994637908</v>
      </c>
      <c r="J51">
        <v>2.0100346913001284</v>
      </c>
      <c r="K51" t="s">
        <v>105</v>
      </c>
      <c r="L51">
        <v>0.6</v>
      </c>
      <c r="M51">
        <v>1.3908288351972593</v>
      </c>
      <c r="N51">
        <v>1.2471024420591892</v>
      </c>
      <c r="O51">
        <v>1.1291349123971925</v>
      </c>
      <c r="P51">
        <v>1.0298307785774061</v>
      </c>
      <c r="Q51">
        <v>0.94467323837476247</v>
      </c>
      <c r="R51">
        <v>0.87059637947936785</v>
      </c>
      <c r="S51">
        <v>0.80541551451572468</v>
      </c>
      <c r="T51">
        <v>0.74751738399562673</v>
      </c>
      <c r="U51">
        <v>0.69567774136774685</v>
      </c>
      <c r="V51" t="s">
        <v>105</v>
      </c>
    </row>
    <row r="52" spans="1:22" x14ac:dyDescent="0.25">
      <c r="A52">
        <v>0.7</v>
      </c>
      <c r="B52">
        <v>2.1782896764478856</v>
      </c>
      <c r="C52">
        <v>2.1235566259209224</v>
      </c>
      <c r="D52">
        <v>2.0851472337248853</v>
      </c>
      <c r="E52">
        <v>2.0582565155510637</v>
      </c>
      <c r="F52">
        <v>2.0399299961150859</v>
      </c>
      <c r="G52">
        <v>2.0282362049293776</v>
      </c>
      <c r="H52">
        <v>2.0218458980783169</v>
      </c>
      <c r="I52">
        <v>2.019818154147059</v>
      </c>
      <c r="J52">
        <v>2.0214528737046962</v>
      </c>
      <c r="L52">
        <v>0.7</v>
      </c>
      <c r="M52">
        <v>1.3908279566349624</v>
      </c>
      <c r="N52">
        <v>1.2514667318975106</v>
      </c>
      <c r="O52">
        <v>1.1363532179399678</v>
      </c>
      <c r="P52">
        <v>1.038940921440495</v>
      </c>
      <c r="Q52">
        <v>0.95503100166904664</v>
      </c>
      <c r="R52">
        <v>0.88175614346032583</v>
      </c>
      <c r="S52">
        <v>0.81705994347391031</v>
      </c>
      <c r="T52">
        <v>0.75941940101843408</v>
      </c>
      <c r="U52">
        <v>0.70767150632762688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64E1-955C-44C0-9593-017979A9D01E}">
  <dimension ref="A2:AG52"/>
  <sheetViews>
    <sheetView topLeftCell="A19" workbookViewId="0">
      <selection activeCell="M45" sqref="M45:V52"/>
    </sheetView>
  </sheetViews>
  <sheetFormatPr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v>566.01846487018565</v>
      </c>
      <c r="C3">
        <v>553.29186946559071</v>
      </c>
      <c r="D3">
        <v>542.11315984219993</v>
      </c>
      <c r="E3">
        <v>532.17114023434021</v>
      </c>
      <c r="F3">
        <v>523.25169219839722</v>
      </c>
      <c r="G3">
        <v>515.1996997510912</v>
      </c>
      <c r="H3">
        <v>507.89841920591834</v>
      </c>
      <c r="I3">
        <v>501.25737063849067</v>
      </c>
      <c r="J3">
        <v>495.20478787419654</v>
      </c>
      <c r="K3" t="s">
        <v>105</v>
      </c>
      <c r="L3">
        <v>0</v>
      </c>
      <c r="M3">
        <v>450.04497854520361</v>
      </c>
      <c r="N3">
        <v>449.86986780395006</v>
      </c>
      <c r="O3">
        <v>449.4971989312865</v>
      </c>
      <c r="P3">
        <v>449.0619602520963</v>
      </c>
      <c r="Q3">
        <v>448.63132401885656</v>
      </c>
      <c r="R3">
        <v>448.23986745796805</v>
      </c>
      <c r="S3">
        <v>447.90515844290866</v>
      </c>
      <c r="T3">
        <v>447.63541424258227</v>
      </c>
      <c r="U3">
        <v>447.43347494119809</v>
      </c>
      <c r="V3" t="s">
        <v>105</v>
      </c>
      <c r="W3">
        <v>0</v>
      </c>
      <c r="X3">
        <v>115.97348632498203</v>
      </c>
      <c r="Y3">
        <v>103.42200166164062</v>
      </c>
      <c r="Z3">
        <v>92.615960910913401</v>
      </c>
      <c r="AA3">
        <v>83.109179982243887</v>
      </c>
      <c r="AB3">
        <v>74.620368179540662</v>
      </c>
      <c r="AC3">
        <v>66.959832293123142</v>
      </c>
      <c r="AD3">
        <v>59.993260763009694</v>
      </c>
      <c r="AE3">
        <v>53.621956395908398</v>
      </c>
      <c r="AF3">
        <v>47.771312932998441</v>
      </c>
      <c r="AG3" t="s">
        <v>105</v>
      </c>
    </row>
    <row r="4" spans="1:33" x14ac:dyDescent="0.25">
      <c r="A4">
        <v>0.1</v>
      </c>
      <c r="B4">
        <v>566.01846487017337</v>
      </c>
      <c r="C4">
        <v>553.76113305507067</v>
      </c>
      <c r="D4">
        <v>542.98147678015152</v>
      </c>
      <c r="E4">
        <v>533.38607967035671</v>
      </c>
      <c r="F4">
        <v>524.77229641823385</v>
      </c>
      <c r="G4">
        <v>516.99289469879</v>
      </c>
      <c r="H4">
        <v>509.93680160850676</v>
      </c>
      <c r="I4">
        <v>503.51775990266651</v>
      </c>
      <c r="J4">
        <v>497.66723314979328</v>
      </c>
      <c r="K4" t="s">
        <v>105</v>
      </c>
      <c r="L4">
        <v>0.1</v>
      </c>
      <c r="M4">
        <v>450.04497854513863</v>
      </c>
      <c r="N4">
        <v>450.34460037169686</v>
      </c>
      <c r="O4">
        <v>450.38132850677965</v>
      </c>
      <c r="P4">
        <v>450.30327905445421</v>
      </c>
      <c r="Q4">
        <v>450.18729621465064</v>
      </c>
      <c r="R4">
        <v>450.07515830959613</v>
      </c>
      <c r="S4">
        <v>449.98994549478653</v>
      </c>
      <c r="T4">
        <v>449.94416052301182</v>
      </c>
      <c r="U4">
        <v>449.94403281495789</v>
      </c>
      <c r="V4" t="s">
        <v>105</v>
      </c>
      <c r="W4">
        <v>0.1</v>
      </c>
      <c r="X4">
        <v>115.97348632503476</v>
      </c>
      <c r="Y4">
        <v>103.41653268337387</v>
      </c>
      <c r="Z4">
        <v>92.600148273371843</v>
      </c>
      <c r="AA4">
        <v>83.082800615902542</v>
      </c>
      <c r="AB4">
        <v>74.585000203583178</v>
      </c>
      <c r="AC4">
        <v>66.917736389193848</v>
      </c>
      <c r="AD4">
        <v>59.946856113720301</v>
      </c>
      <c r="AE4">
        <v>53.573599379654631</v>
      </c>
      <c r="AF4">
        <v>47.723200334835376</v>
      </c>
      <c r="AG4" t="s">
        <v>105</v>
      </c>
    </row>
    <row r="5" spans="1:33" x14ac:dyDescent="0.25">
      <c r="A5">
        <v>0.2</v>
      </c>
      <c r="B5">
        <v>566.01846487011812</v>
      </c>
      <c r="C5">
        <v>554.23141251820425</v>
      </c>
      <c r="D5">
        <v>543.85314760492486</v>
      </c>
      <c r="E5">
        <v>534.60738376255711</v>
      </c>
      <c r="F5">
        <v>526.30260180820869</v>
      </c>
      <c r="G5">
        <v>518.79925497789134</v>
      </c>
      <c r="H5">
        <v>511.99182334401627</v>
      </c>
      <c r="I5">
        <v>505.79820077709098</v>
      </c>
      <c r="J5">
        <v>500.15303703745474</v>
      </c>
      <c r="K5" t="s">
        <v>105</v>
      </c>
      <c r="L5">
        <v>0.2</v>
      </c>
      <c r="M5">
        <v>450.04497854512698</v>
      </c>
      <c r="N5">
        <v>450.82131910131051</v>
      </c>
      <c r="O5">
        <v>451.27209694880685</v>
      </c>
      <c r="P5">
        <v>451.55730480681046</v>
      </c>
      <c r="Q5">
        <v>451.76274618297157</v>
      </c>
      <c r="R5">
        <v>451.93699095337081</v>
      </c>
      <c r="S5">
        <v>452.10837732745239</v>
      </c>
      <c r="T5">
        <v>452.29353516905303</v>
      </c>
      <c r="U5">
        <v>452.50199142570432</v>
      </c>
      <c r="V5" t="s">
        <v>105</v>
      </c>
      <c r="W5">
        <v>0.2</v>
      </c>
      <c r="X5">
        <v>115.97348632499123</v>
      </c>
      <c r="Y5">
        <v>103.41009341689372</v>
      </c>
      <c r="Z5">
        <v>92.581050656118023</v>
      </c>
      <c r="AA5">
        <v>83.050078955746628</v>
      </c>
      <c r="AB5">
        <v>74.539855625237152</v>
      </c>
      <c r="AC5">
        <v>66.862264024520599</v>
      </c>
      <c r="AD5">
        <v>59.883446016563909</v>
      </c>
      <c r="AE5">
        <v>53.504665608037946</v>
      </c>
      <c r="AF5">
        <v>47.651045611750348</v>
      </c>
      <c r="AG5" t="s">
        <v>105</v>
      </c>
    </row>
    <row r="6" spans="1:33" x14ac:dyDescent="0.25">
      <c r="A6">
        <v>0.3</v>
      </c>
      <c r="B6">
        <v>566.01846487015985</v>
      </c>
      <c r="C6">
        <v>554.70271381501186</v>
      </c>
      <c r="D6">
        <v>544.72820784291048</v>
      </c>
      <c r="E6">
        <v>535.83514510598513</v>
      </c>
      <c r="F6">
        <v>527.84278248599583</v>
      </c>
      <c r="G6">
        <v>520.61905609955659</v>
      </c>
      <c r="H6">
        <v>514.06387669750563</v>
      </c>
      <c r="I6">
        <v>508.09921376522709</v>
      </c>
      <c r="J6">
        <v>502.66285639893607</v>
      </c>
      <c r="K6" t="s">
        <v>105</v>
      </c>
      <c r="L6">
        <v>0.3</v>
      </c>
      <c r="M6">
        <v>450.04497854511561</v>
      </c>
      <c r="N6">
        <v>451.30004239840014</v>
      </c>
      <c r="O6">
        <v>452.16961173922789</v>
      </c>
      <c r="P6">
        <v>452.8243170453253</v>
      </c>
      <c r="Q6">
        <v>453.35820481450861</v>
      </c>
      <c r="R6">
        <v>453.82620872996915</v>
      </c>
      <c r="S6">
        <v>454.26165918351802</v>
      </c>
      <c r="T6">
        <v>454.68514212086228</v>
      </c>
      <c r="U6">
        <v>455.10937692837581</v>
      </c>
      <c r="V6" t="s">
        <v>105</v>
      </c>
      <c r="W6">
        <v>0.3</v>
      </c>
      <c r="X6">
        <v>115.97348632504416</v>
      </c>
      <c r="Y6">
        <v>103.40267141661167</v>
      </c>
      <c r="Z6">
        <v>92.558596103682561</v>
      </c>
      <c r="AA6">
        <v>83.01082806065979</v>
      </c>
      <c r="AB6">
        <v>74.484577671487173</v>
      </c>
      <c r="AC6">
        <v>66.792847369587392</v>
      </c>
      <c r="AD6">
        <v>59.802217513987586</v>
      </c>
      <c r="AE6">
        <v>53.414071644364817</v>
      </c>
      <c r="AF6">
        <v>47.553479470560319</v>
      </c>
      <c r="AG6" t="s">
        <v>105</v>
      </c>
    </row>
    <row r="7" spans="1:33" x14ac:dyDescent="0.25">
      <c r="A7">
        <v>0.4</v>
      </c>
      <c r="B7">
        <v>566.01846487015519</v>
      </c>
      <c r="C7">
        <v>555.17504296202526</v>
      </c>
      <c r="D7">
        <v>545.60669362892668</v>
      </c>
      <c r="E7">
        <v>537.06945847625684</v>
      </c>
      <c r="F7">
        <v>529.39301763438459</v>
      </c>
      <c r="G7">
        <v>522.45258293118764</v>
      </c>
      <c r="H7">
        <v>516.15336897876409</v>
      </c>
      <c r="I7">
        <v>510.42134134251609</v>
      </c>
      <c r="J7">
        <v>505.19737816014776</v>
      </c>
      <c r="K7" t="s">
        <v>105</v>
      </c>
      <c r="L7">
        <v>0.4</v>
      </c>
      <c r="M7">
        <v>450.04497854511084</v>
      </c>
      <c r="N7">
        <v>451.78078662966522</v>
      </c>
      <c r="O7">
        <v>453.0739808417166</v>
      </c>
      <c r="P7">
        <v>454.10460377562242</v>
      </c>
      <c r="Q7">
        <v>454.97422234112844</v>
      </c>
      <c r="R7">
        <v>455.74369468703878</v>
      </c>
      <c r="S7">
        <v>456.45105824162982</v>
      </c>
      <c r="T7">
        <v>457.1206757953031</v>
      </c>
      <c r="U7">
        <v>457.7683406011771</v>
      </c>
      <c r="V7" t="s">
        <v>105</v>
      </c>
      <c r="W7">
        <v>0.4</v>
      </c>
      <c r="X7">
        <v>115.97348632504431</v>
      </c>
      <c r="Y7">
        <v>103.39425633236004</v>
      </c>
      <c r="Z7">
        <v>92.532712787209988</v>
      </c>
      <c r="AA7">
        <v>82.964854700634476</v>
      </c>
      <c r="AB7">
        <v>74.418795293256252</v>
      </c>
      <c r="AC7">
        <v>66.708888244148909</v>
      </c>
      <c r="AD7">
        <v>59.702310737134255</v>
      </c>
      <c r="AE7">
        <v>53.300665547213001</v>
      </c>
      <c r="AF7">
        <v>47.429037558970656</v>
      </c>
      <c r="AG7" t="s">
        <v>105</v>
      </c>
    </row>
    <row r="8" spans="1:33" x14ac:dyDescent="0.25">
      <c r="A8">
        <v>0.5</v>
      </c>
      <c r="B8">
        <v>566.0184648701611</v>
      </c>
      <c r="C8">
        <v>555.64840603296511</v>
      </c>
      <c r="D8">
        <v>546.48864172065498</v>
      </c>
      <c r="E8">
        <v>538.31042090105564</v>
      </c>
      <c r="F8">
        <v>530.95349170647478</v>
      </c>
      <c r="G8">
        <v>524.30013013935695</v>
      </c>
      <c r="H8">
        <v>518.26072332526667</v>
      </c>
      <c r="I8">
        <v>512.76514925178094</v>
      </c>
      <c r="J8">
        <v>507.75732123485727</v>
      </c>
      <c r="K8" t="s">
        <v>105</v>
      </c>
      <c r="L8">
        <v>0.5</v>
      </c>
      <c r="M8">
        <v>450.04497854511686</v>
      </c>
      <c r="N8">
        <v>452.26357030377466</v>
      </c>
      <c r="O8">
        <v>453.98531658234589</v>
      </c>
      <c r="P8">
        <v>455.39846456309772</v>
      </c>
      <c r="Q8">
        <v>456.61137140371221</v>
      </c>
      <c r="R8">
        <v>457.69037106918529</v>
      </c>
      <c r="S8">
        <v>458.67790776126969</v>
      </c>
      <c r="T8">
        <v>459.60192854044078</v>
      </c>
      <c r="U8">
        <v>460.48116974819783</v>
      </c>
      <c r="V8" t="s">
        <v>105</v>
      </c>
      <c r="W8">
        <v>0.5</v>
      </c>
      <c r="X8">
        <v>115.97348632504425</v>
      </c>
      <c r="Y8">
        <v>103.38483572919037</v>
      </c>
      <c r="Z8">
        <v>92.503325138309137</v>
      </c>
      <c r="AA8">
        <v>82.91195633795796</v>
      </c>
      <c r="AB8">
        <v>74.342120302762481</v>
      </c>
      <c r="AC8">
        <v>66.609759070171634</v>
      </c>
      <c r="AD8">
        <v>59.582815563996995</v>
      </c>
      <c r="AE8">
        <v>53.163220711340095</v>
      </c>
      <c r="AF8">
        <v>47.276151486659472</v>
      </c>
      <c r="AG8" t="s">
        <v>105</v>
      </c>
    </row>
    <row r="9" spans="1:33" x14ac:dyDescent="0.25">
      <c r="A9">
        <v>0.6</v>
      </c>
      <c r="B9">
        <v>566.01846487016348</v>
      </c>
      <c r="C9">
        <v>556.12280915953124</v>
      </c>
      <c r="D9">
        <v>547.37408951363102</v>
      </c>
      <c r="E9">
        <v>539.55813173458739</v>
      </c>
      <c r="F9">
        <v>532.52439464163854</v>
      </c>
      <c r="G9">
        <v>526.16200265989107</v>
      </c>
      <c r="H9">
        <v>520.38637956078935</v>
      </c>
      <c r="I9">
        <v>515.13122789782551</v>
      </c>
      <c r="J9">
        <v>510.34343860848247</v>
      </c>
      <c r="K9" t="s">
        <v>105</v>
      </c>
      <c r="L9">
        <v>0.6</v>
      </c>
      <c r="M9">
        <v>450.04497854511959</v>
      </c>
      <c r="N9">
        <v>452.74841140573113</v>
      </c>
      <c r="O9">
        <v>454.90373078683064</v>
      </c>
      <c r="P9">
        <v>456.70620471860036</v>
      </c>
      <c r="Q9">
        <v>458.27024861015116</v>
      </c>
      <c r="R9">
        <v>459.6672022534832</v>
      </c>
      <c r="S9">
        <v>460.94361080565159</v>
      </c>
      <c r="T9">
        <v>462.13079764319968</v>
      </c>
      <c r="U9">
        <v>463.2502979851123</v>
      </c>
      <c r="V9" t="s">
        <v>105</v>
      </c>
      <c r="W9">
        <v>0.6</v>
      </c>
      <c r="X9">
        <v>115.97348632504392</v>
      </c>
      <c r="Y9">
        <v>103.37439775380005</v>
      </c>
      <c r="Z9">
        <v>92.470358726800342</v>
      </c>
      <c r="AA9">
        <v>82.851927015987002</v>
      </c>
      <c r="AB9">
        <v>74.254146031487366</v>
      </c>
      <c r="AC9">
        <v>66.494800406407876</v>
      </c>
      <c r="AD9">
        <v>59.442768755137685</v>
      </c>
      <c r="AE9">
        <v>53.000430254625783</v>
      </c>
      <c r="AF9">
        <v>47.093140623370189</v>
      </c>
      <c r="AG9" t="s">
        <v>105</v>
      </c>
    </row>
    <row r="10" spans="1:33" x14ac:dyDescent="0.25">
      <c r="A10">
        <v>0.7</v>
      </c>
      <c r="B10">
        <v>566.0184648701545</v>
      </c>
      <c r="C10">
        <v>556.59825853215364</v>
      </c>
      <c r="D10">
        <v>548.26307505653097</v>
      </c>
      <c r="E10">
        <v>540.81269273521764</v>
      </c>
      <c r="F10">
        <v>534.1059220929227</v>
      </c>
      <c r="G10">
        <v>528.03851619718114</v>
      </c>
      <c r="H10">
        <v>522.53079511446276</v>
      </c>
      <c r="I10">
        <v>517.52019385065148</v>
      </c>
      <c r="J10">
        <v>512.95651959848192</v>
      </c>
      <c r="L10">
        <v>0.7</v>
      </c>
      <c r="M10">
        <v>450.04497854511078</v>
      </c>
      <c r="N10">
        <v>453.23532890410956</v>
      </c>
      <c r="O10">
        <v>455.82934153254638</v>
      </c>
      <c r="P10">
        <v>458.02814217984547</v>
      </c>
      <c r="Q10">
        <v>459.95147262588222</v>
      </c>
      <c r="R10">
        <v>461.67520028601172</v>
      </c>
      <c r="S10">
        <v>463.24964706345003</v>
      </c>
      <c r="T10">
        <v>464.70928958226472</v>
      </c>
      <c r="U10">
        <v>466.07831518080661</v>
      </c>
      <c r="W10">
        <v>0.7</v>
      </c>
      <c r="X10">
        <v>115.97348632504369</v>
      </c>
      <c r="Y10">
        <v>103.36292962804417</v>
      </c>
      <c r="Z10">
        <v>92.433733523984557</v>
      </c>
      <c r="AA10">
        <v>82.784550555372164</v>
      </c>
      <c r="AB10">
        <v>74.154449467040465</v>
      </c>
      <c r="AC10">
        <v>66.363315911169423</v>
      </c>
      <c r="AD10">
        <v>59.281148051012735</v>
      </c>
      <c r="AE10">
        <v>52.81090426838675</v>
      </c>
      <c r="AF10">
        <v>46.878204417675242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v>1010.358016038079</v>
      </c>
      <c r="C17">
        <v>1009.0448593930976</v>
      </c>
      <c r="D17">
        <v>1007.6574973129328</v>
      </c>
      <c r="E17">
        <v>1006.3523688737425</v>
      </c>
      <c r="F17">
        <v>1005.1946167177097</v>
      </c>
      <c r="G17">
        <v>1004.2091834480439</v>
      </c>
      <c r="H17">
        <v>1003.4021069817655</v>
      </c>
      <c r="I17">
        <v>1002.7703959883455</v>
      </c>
      <c r="J17">
        <v>1002.3067441585911</v>
      </c>
      <c r="K17" t="s">
        <v>105</v>
      </c>
      <c r="L17">
        <v>0</v>
      </c>
      <c r="M17">
        <v>509.44388698555326</v>
      </c>
      <c r="N17">
        <v>466.55229322946934</v>
      </c>
      <c r="O17">
        <v>429.48511125957515</v>
      </c>
      <c r="P17">
        <v>396.60745492546863</v>
      </c>
      <c r="Q17">
        <v>366.90700731551647</v>
      </c>
      <c r="R17">
        <v>339.7104340222117</v>
      </c>
      <c r="S17">
        <v>314.54608148787895</v>
      </c>
      <c r="T17">
        <v>291.06987196306744</v>
      </c>
      <c r="U17">
        <v>269.02255648019081</v>
      </c>
      <c r="V17" t="s">
        <v>105</v>
      </c>
    </row>
    <row r="18" spans="1:22" x14ac:dyDescent="0.25">
      <c r="A18">
        <v>0.1</v>
      </c>
      <c r="B18">
        <v>1010.3580313613397</v>
      </c>
      <c r="C18">
        <v>1010.1810771903678</v>
      </c>
      <c r="D18">
        <v>1009.7551560686865</v>
      </c>
      <c r="E18">
        <v>1009.2781372756127</v>
      </c>
      <c r="F18">
        <v>1008.8432380103495</v>
      </c>
      <c r="G18">
        <v>1008.49513406337</v>
      </c>
      <c r="H18">
        <v>1008.2543153805079</v>
      </c>
      <c r="I18">
        <v>1008.1286188944106</v>
      </c>
      <c r="J18">
        <v>1008.1190283395467</v>
      </c>
      <c r="K18" t="s">
        <v>105</v>
      </c>
      <c r="L18">
        <v>0.1</v>
      </c>
      <c r="M18">
        <v>509.44395670990735</v>
      </c>
      <c r="N18">
        <v>466.19187196875669</v>
      </c>
      <c r="O18">
        <v>428.76645951534357</v>
      </c>
      <c r="P18">
        <v>395.54927468895329</v>
      </c>
      <c r="Q18">
        <v>365.53328254666445</v>
      </c>
      <c r="R18">
        <v>338.04639131762866</v>
      </c>
      <c r="S18">
        <v>312.61659356089501</v>
      </c>
      <c r="T18">
        <v>288.89874188716118</v>
      </c>
      <c r="U18">
        <v>266.63236905124882</v>
      </c>
      <c r="V18" t="s">
        <v>105</v>
      </c>
    </row>
    <row r="19" spans="1:22" x14ac:dyDescent="0.25">
      <c r="A19">
        <v>0.2</v>
      </c>
      <c r="B19">
        <v>1010.3580330223234</v>
      </c>
      <c r="C19">
        <v>1011.3225462046914</v>
      </c>
      <c r="D19">
        <v>1011.8701471809356</v>
      </c>
      <c r="E19">
        <v>1012.236773604135</v>
      </c>
      <c r="F19">
        <v>1012.5418790901479</v>
      </c>
      <c r="G19">
        <v>1012.8488572967128</v>
      </c>
      <c r="H19">
        <v>1013.1920376294665</v>
      </c>
      <c r="I19">
        <v>1013.5897152721344</v>
      </c>
      <c r="J19">
        <v>1014.0509566488068</v>
      </c>
      <c r="K19" t="s">
        <v>105</v>
      </c>
      <c r="L19">
        <v>0.2</v>
      </c>
      <c r="M19">
        <v>509.44389571763065</v>
      </c>
      <c r="N19">
        <v>465.82777057722126</v>
      </c>
      <c r="O19">
        <v>428.03519112202071</v>
      </c>
      <c r="P19">
        <v>394.46647291785411</v>
      </c>
      <c r="Q19">
        <v>364.12132527534658</v>
      </c>
      <c r="R19">
        <v>336.32973152997562</v>
      </c>
      <c r="S19">
        <v>310.61981504922528</v>
      </c>
      <c r="T19">
        <v>286.64572578255041</v>
      </c>
      <c r="U19">
        <v>264.14604583093723</v>
      </c>
      <c r="V19" t="s">
        <v>105</v>
      </c>
    </row>
    <row r="20" spans="1:22" x14ac:dyDescent="0.25">
      <c r="A20">
        <v>0.3</v>
      </c>
      <c r="B20">
        <v>1010.358034533804</v>
      </c>
      <c r="C20">
        <v>1012.4693186628899</v>
      </c>
      <c r="D20">
        <v>1014.0027646311729</v>
      </c>
      <c r="E20">
        <v>1015.2290335956537</v>
      </c>
      <c r="F20">
        <v>1016.2919642196541</v>
      </c>
      <c r="G20">
        <v>1017.2726029263537</v>
      </c>
      <c r="H20">
        <v>1018.2184750560251</v>
      </c>
      <c r="I20">
        <v>1019.1579310409728</v>
      </c>
      <c r="J20">
        <v>1020.1078795609675</v>
      </c>
      <c r="K20" t="s">
        <v>105</v>
      </c>
      <c r="L20">
        <v>0.3</v>
      </c>
      <c r="M20">
        <v>509.44400597523492</v>
      </c>
      <c r="N20">
        <v>465.45991914946006</v>
      </c>
      <c r="O20">
        <v>427.29102431780905</v>
      </c>
      <c r="P20">
        <v>393.35841702659934</v>
      </c>
      <c r="Q20">
        <v>362.66984463127346</v>
      </c>
      <c r="R20">
        <v>334.55837631502311</v>
      </c>
      <c r="S20">
        <v>308.55273321043427</v>
      </c>
      <c r="T20">
        <v>284.30681102016763</v>
      </c>
      <c r="U20">
        <v>261.55848270158771</v>
      </c>
      <c r="V20" t="s">
        <v>105</v>
      </c>
    </row>
    <row r="21" spans="1:22" x14ac:dyDescent="0.25">
      <c r="A21">
        <v>0.4</v>
      </c>
      <c r="B21">
        <v>1010.3580351790603</v>
      </c>
      <c r="C21">
        <v>1013.6214375423218</v>
      </c>
      <c r="D21">
        <v>1016.1533030609781</v>
      </c>
      <c r="E21">
        <v>1018.2556964258318</v>
      </c>
      <c r="F21">
        <v>1020.094971793388</v>
      </c>
      <c r="G21">
        <v>1021.7687304379689</v>
      </c>
      <c r="H21">
        <v>1023.3369998099847</v>
      </c>
      <c r="I21">
        <v>1024.8377610220882</v>
      </c>
      <c r="J21">
        <v>1026.2954905228762</v>
      </c>
      <c r="K21" t="s">
        <v>105</v>
      </c>
      <c r="L21">
        <v>0.4</v>
      </c>
      <c r="M21">
        <v>509.44400269511505</v>
      </c>
      <c r="N21">
        <v>465.08830271885438</v>
      </c>
      <c r="O21">
        <v>426.53370905839097</v>
      </c>
      <c r="P21">
        <v>392.22436026542175</v>
      </c>
      <c r="Q21">
        <v>361.17748645596743</v>
      </c>
      <c r="R21">
        <v>332.73009481532068</v>
      </c>
      <c r="S21">
        <v>306.41216503075378</v>
      </c>
      <c r="T21">
        <v>281.87771350184676</v>
      </c>
      <c r="U21">
        <v>258.86420341628531</v>
      </c>
      <c r="V21" t="s">
        <v>105</v>
      </c>
    </row>
    <row r="22" spans="1:22" x14ac:dyDescent="0.25">
      <c r="A22">
        <v>0.5</v>
      </c>
      <c r="B22">
        <v>1010.3580343706589</v>
      </c>
      <c r="C22">
        <v>1014.7789548750915</v>
      </c>
      <c r="D22">
        <v>1018.3220695922168</v>
      </c>
      <c r="E22">
        <v>1021.3175740725877</v>
      </c>
      <c r="F22">
        <v>1023.9524426594536</v>
      </c>
      <c r="G22">
        <v>1026.3397085205565</v>
      </c>
      <c r="H22">
        <v>1028.5511667012718</v>
      </c>
      <c r="I22">
        <v>1030.6339697911328</v>
      </c>
      <c r="J22">
        <v>1032.6198562956256</v>
      </c>
      <c r="K22" t="s">
        <v>105</v>
      </c>
      <c r="L22">
        <v>0.5</v>
      </c>
      <c r="M22">
        <v>509.44399894942376</v>
      </c>
      <c r="N22">
        <v>464.71286733121428</v>
      </c>
      <c r="O22">
        <v>425.76293233822793</v>
      </c>
      <c r="P22">
        <v>391.06357420763163</v>
      </c>
      <c r="Q22">
        <v>359.64283772211223</v>
      </c>
      <c r="R22">
        <v>330.84258060551548</v>
      </c>
      <c r="S22">
        <v>304.19473781810137</v>
      </c>
      <c r="T22">
        <v>279.35386605748567</v>
      </c>
      <c r="U22">
        <v>256.05734954601741</v>
      </c>
      <c r="V22" t="s">
        <v>105</v>
      </c>
    </row>
    <row r="23" spans="1:22" x14ac:dyDescent="0.25">
      <c r="A23">
        <v>0.6</v>
      </c>
      <c r="B23">
        <v>1010.3580340279044</v>
      </c>
      <c r="C23">
        <v>1015.9419201321917</v>
      </c>
      <c r="D23">
        <v>1020.5093704787545</v>
      </c>
      <c r="E23">
        <v>1024.415494260317</v>
      </c>
      <c r="F23">
        <v>1027.8659844329716</v>
      </c>
      <c r="G23">
        <v>1030.9881232588139</v>
      </c>
      <c r="H23">
        <v>1033.8647241059664</v>
      </c>
      <c r="I23">
        <v>1036.5516117869706</v>
      </c>
      <c r="J23">
        <v>1039.0874467850879</v>
      </c>
      <c r="K23" t="s">
        <v>105</v>
      </c>
      <c r="L23">
        <v>0.6</v>
      </c>
      <c r="M23">
        <v>509.44401067688324</v>
      </c>
      <c r="N23">
        <v>464.33357445443693</v>
      </c>
      <c r="O23">
        <v>424.97850076428131</v>
      </c>
      <c r="P23">
        <v>389.87529401615694</v>
      </c>
      <c r="Q23">
        <v>358.06438752153326</v>
      </c>
      <c r="R23">
        <v>328.89341505348727</v>
      </c>
      <c r="S23">
        <v>301.89688847467301</v>
      </c>
      <c r="T23">
        <v>276.73040287722466</v>
      </c>
      <c r="U23">
        <v>253.13163262769461</v>
      </c>
      <c r="V23" t="s">
        <v>105</v>
      </c>
    </row>
    <row r="24" spans="1:22" x14ac:dyDescent="0.25">
      <c r="A24">
        <v>0.7</v>
      </c>
      <c r="B24">
        <v>1010.3580351699165</v>
      </c>
      <c r="C24">
        <v>1017.1103857911586</v>
      </c>
      <c r="D24">
        <v>1022.7155290324559</v>
      </c>
      <c r="E24">
        <v>1027.5503206195988</v>
      </c>
      <c r="F24">
        <v>1031.8372669064204</v>
      </c>
      <c r="G24">
        <v>1035.7166930879066</v>
      </c>
      <c r="H24">
        <v>1039.2816327860558</v>
      </c>
      <c r="I24">
        <v>1042.5960447771852</v>
      </c>
      <c r="J24">
        <v>1045.7051641688809</v>
      </c>
      <c r="L24">
        <v>0.7</v>
      </c>
      <c r="M24">
        <v>509.44399101943776</v>
      </c>
      <c r="N24">
        <v>463.95035239256782</v>
      </c>
      <c r="O24">
        <v>424.18006407517322</v>
      </c>
      <c r="P24">
        <v>388.65873789810126</v>
      </c>
      <c r="Q24">
        <v>356.44059470159021</v>
      </c>
      <c r="R24">
        <v>326.88001021697818</v>
      </c>
      <c r="S24">
        <v>299.51481986840713</v>
      </c>
      <c r="T24">
        <v>274.00218260745936</v>
      </c>
      <c r="U24">
        <v>250.08033158389935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v>3276.04001189565</v>
      </c>
      <c r="C31">
        <v>3152.9659748343952</v>
      </c>
      <c r="D31">
        <v>3060.7748243019419</v>
      </c>
      <c r="E31">
        <v>2990.1946834121409</v>
      </c>
      <c r="F31">
        <v>2935.6355797206502</v>
      </c>
      <c r="G31">
        <v>2893.487345374333</v>
      </c>
      <c r="H31">
        <v>2861.2972622171105</v>
      </c>
      <c r="I31">
        <v>2837.3406574291967</v>
      </c>
      <c r="J31">
        <v>2820.372369368627</v>
      </c>
      <c r="K31" t="s">
        <v>105</v>
      </c>
      <c r="L31">
        <v>0</v>
      </c>
      <c r="M31">
        <v>1804.0918800959041</v>
      </c>
      <c r="N31">
        <v>1658.2917103855152</v>
      </c>
      <c r="O31">
        <v>1539.0148876239541</v>
      </c>
      <c r="P31">
        <v>1438.0842813449949</v>
      </c>
      <c r="Q31">
        <v>1350.5881866559355</v>
      </c>
      <c r="R31">
        <v>1273.3455967954239</v>
      </c>
      <c r="S31">
        <v>1204.1760288379519</v>
      </c>
      <c r="T31">
        <v>1141.5184272564954</v>
      </c>
      <c r="U31">
        <v>1084.216310844693</v>
      </c>
      <c r="V31" t="s">
        <v>105</v>
      </c>
    </row>
    <row r="32" spans="1:22" x14ac:dyDescent="0.25">
      <c r="A32">
        <v>0.1</v>
      </c>
      <c r="B32">
        <v>3276.0418722096474</v>
      </c>
      <c r="C32">
        <v>3157.94923395357</v>
      </c>
      <c r="D32">
        <v>3069.314056662492</v>
      </c>
      <c r="E32">
        <v>3001.389410290265</v>
      </c>
      <c r="F32">
        <v>2948.8763050910252</v>
      </c>
      <c r="G32">
        <v>2908.3348513117821</v>
      </c>
      <c r="H32">
        <v>2877.4223926459917</v>
      </c>
      <c r="I32">
        <v>2854.4861056833297</v>
      </c>
      <c r="J32">
        <v>2838.3287557450994</v>
      </c>
      <c r="K32" t="s">
        <v>105</v>
      </c>
      <c r="L32">
        <v>0.1</v>
      </c>
      <c r="M32">
        <v>1804.0909917354786</v>
      </c>
      <c r="N32">
        <v>1661.9019431390893</v>
      </c>
      <c r="O32">
        <v>1545.0401980992426</v>
      </c>
      <c r="P32">
        <v>1445.788910801567</v>
      </c>
      <c r="Q32">
        <v>1359.4863892043913</v>
      </c>
      <c r="R32">
        <v>1283.1005996419933</v>
      </c>
      <c r="S32">
        <v>1214.5448358951933</v>
      </c>
      <c r="T32">
        <v>1152.3216528643857</v>
      </c>
      <c r="U32">
        <v>1095.3190961726541</v>
      </c>
      <c r="V32" t="s">
        <v>105</v>
      </c>
    </row>
    <row r="33" spans="1:22" x14ac:dyDescent="0.25">
      <c r="A33">
        <v>0.2</v>
      </c>
      <c r="B33">
        <v>3276.0420738617431</v>
      </c>
      <c r="C33">
        <v>3162.9566997691782</v>
      </c>
      <c r="D33">
        <v>3077.9257005084501</v>
      </c>
      <c r="E33">
        <v>3012.7115353589447</v>
      </c>
      <c r="F33">
        <v>2962.2980615944584</v>
      </c>
      <c r="G33">
        <v>2923.4136219297898</v>
      </c>
      <c r="H33">
        <v>2893.8243353351609</v>
      </c>
      <c r="I33">
        <v>2871.9486381071192</v>
      </c>
      <c r="J33">
        <v>2856.6376575194427</v>
      </c>
      <c r="K33" t="s">
        <v>105</v>
      </c>
      <c r="L33">
        <v>0.2</v>
      </c>
      <c r="M33">
        <v>1804.0917688402521</v>
      </c>
      <c r="N33">
        <v>1665.5336899894978</v>
      </c>
      <c r="O33">
        <v>1551.13053890021</v>
      </c>
      <c r="P33">
        <v>1453.6081894284785</v>
      </c>
      <c r="Q33">
        <v>1368.5480638833385</v>
      </c>
      <c r="R33">
        <v>1293.0644927618378</v>
      </c>
      <c r="S33">
        <v>1225.1640214219426</v>
      </c>
      <c r="T33">
        <v>1163.4125243306196</v>
      </c>
      <c r="U33">
        <v>1106.7422895476711</v>
      </c>
      <c r="V33" t="s">
        <v>105</v>
      </c>
    </row>
    <row r="34" spans="1:22" x14ac:dyDescent="0.25">
      <c r="A34">
        <v>0.3</v>
      </c>
      <c r="B34">
        <v>3276.042257363486</v>
      </c>
      <c r="C34">
        <v>3167.9888433331403</v>
      </c>
      <c r="D34">
        <v>3086.6111724134767</v>
      </c>
      <c r="E34">
        <v>3024.1639964849628</v>
      </c>
      <c r="F34">
        <v>2975.9060344801783</v>
      </c>
      <c r="G34">
        <v>2938.7313538070107</v>
      </c>
      <c r="H34">
        <v>2910.5134329340458</v>
      </c>
      <c r="I34">
        <v>2889.7413876316159</v>
      </c>
      <c r="J34">
        <v>2875.3148405309971</v>
      </c>
      <c r="K34" t="s">
        <v>105</v>
      </c>
      <c r="L34">
        <v>0.3</v>
      </c>
      <c r="M34">
        <v>1804.090364043604</v>
      </c>
      <c r="N34">
        <v>1669.1874221216065</v>
      </c>
      <c r="O34">
        <v>1557.2872225346568</v>
      </c>
      <c r="P34">
        <v>1461.5444212246211</v>
      </c>
      <c r="Q34">
        <v>1377.7778791844844</v>
      </c>
      <c r="R34">
        <v>1303.2443403482325</v>
      </c>
      <c r="S34">
        <v>1236.0433033011288</v>
      </c>
      <c r="T34">
        <v>1174.803223851635</v>
      </c>
      <c r="U34">
        <v>1118.5006906180533</v>
      </c>
      <c r="V34" t="s">
        <v>105</v>
      </c>
    </row>
    <row r="35" spans="1:22" x14ac:dyDescent="0.25">
      <c r="A35">
        <v>0.4</v>
      </c>
      <c r="B35">
        <v>3276.0423357010291</v>
      </c>
      <c r="C35">
        <v>3173.0454372161244</v>
      </c>
      <c r="D35">
        <v>3095.3715819737745</v>
      </c>
      <c r="E35">
        <v>3035.7496343993353</v>
      </c>
      <c r="F35">
        <v>2989.7054929588676</v>
      </c>
      <c r="G35">
        <v>2954.2961646047147</v>
      </c>
      <c r="H35">
        <v>2927.5005949047586</v>
      </c>
      <c r="I35">
        <v>2907.8782338637266</v>
      </c>
      <c r="J35">
        <v>2894.3771020509926</v>
      </c>
      <c r="K35" t="s">
        <v>105</v>
      </c>
      <c r="L35">
        <v>0.4</v>
      </c>
      <c r="M35">
        <v>1804.0904058357744</v>
      </c>
      <c r="N35">
        <v>1672.8631264880141</v>
      </c>
      <c r="O35">
        <v>1563.5113154729565</v>
      </c>
      <c r="P35">
        <v>1469.6007976171152</v>
      </c>
      <c r="Q35">
        <v>1387.1807912834679</v>
      </c>
      <c r="R35">
        <v>1313.6478286252654</v>
      </c>
      <c r="S35">
        <v>1247.1928976908271</v>
      </c>
      <c r="T35">
        <v>1186.5067634037528</v>
      </c>
      <c r="U35">
        <v>1130.6101515133184</v>
      </c>
      <c r="V35" t="s">
        <v>105</v>
      </c>
    </row>
    <row r="36" spans="1:22" x14ac:dyDescent="0.25">
      <c r="A36">
        <v>0.5</v>
      </c>
      <c r="B36">
        <v>3276.0422375567036</v>
      </c>
      <c r="C36">
        <v>3178.1268580829919</v>
      </c>
      <c r="D36">
        <v>3104.2082373023277</v>
      </c>
      <c r="E36">
        <v>3047.4718174731674</v>
      </c>
      <c r="F36">
        <v>3003.7020600704395</v>
      </c>
      <c r="G36">
        <v>2970.1164694024324</v>
      </c>
      <c r="H36">
        <v>2944.7973235103573</v>
      </c>
      <c r="I36">
        <v>2926.3739053157688</v>
      </c>
      <c r="J36">
        <v>2913.842462090036</v>
      </c>
      <c r="K36" t="s">
        <v>105</v>
      </c>
      <c r="L36">
        <v>0.5</v>
      </c>
      <c r="M36">
        <v>1804.0904535598247</v>
      </c>
      <c r="N36">
        <v>1676.561110977934</v>
      </c>
      <c r="O36">
        <v>1569.8043835513251</v>
      </c>
      <c r="P36">
        <v>1477.7801137991221</v>
      </c>
      <c r="Q36">
        <v>1396.7619084703717</v>
      </c>
      <c r="R36">
        <v>1324.2827865488475</v>
      </c>
      <c r="S36">
        <v>1258.6236017609597</v>
      </c>
      <c r="T36">
        <v>1198.5369722707851</v>
      </c>
      <c r="U36">
        <v>1143.0875084840172</v>
      </c>
      <c r="V36" t="s">
        <v>105</v>
      </c>
    </row>
    <row r="37" spans="1:22" x14ac:dyDescent="0.25">
      <c r="A37">
        <v>0.6</v>
      </c>
      <c r="B37">
        <v>3276.0421959445703</v>
      </c>
      <c r="C37">
        <v>3183.2332652619466</v>
      </c>
      <c r="D37">
        <v>3113.1223860712398</v>
      </c>
      <c r="E37">
        <v>3059.3333830056326</v>
      </c>
      <c r="F37">
        <v>3017.901615522072</v>
      </c>
      <c r="G37">
        <v>2986.2010614759283</v>
      </c>
      <c r="H37">
        <v>2962.4157239477959</v>
      </c>
      <c r="I37">
        <v>2945.2440221901575</v>
      </c>
      <c r="J37">
        <v>2933.7301349124109</v>
      </c>
      <c r="K37" t="s">
        <v>105</v>
      </c>
      <c r="L37">
        <v>0.6</v>
      </c>
      <c r="M37">
        <v>1804.0903041396552</v>
      </c>
      <c r="N37">
        <v>1680.281549275069</v>
      </c>
      <c r="O37">
        <v>1576.1668898102821</v>
      </c>
      <c r="P37">
        <v>1486.0855370085387</v>
      </c>
      <c r="Q37">
        <v>1406.5267935639195</v>
      </c>
      <c r="R37">
        <v>1335.157385451445</v>
      </c>
      <c r="S37">
        <v>1270.346768903463</v>
      </c>
      <c r="T37">
        <v>1210.9085290912999</v>
      </c>
      <c r="U37">
        <v>1155.9507892875811</v>
      </c>
      <c r="V37" t="s">
        <v>105</v>
      </c>
    </row>
    <row r="38" spans="1:22" x14ac:dyDescent="0.25">
      <c r="A38">
        <v>0.7</v>
      </c>
      <c r="B38">
        <v>3276.0423345909262</v>
      </c>
      <c r="C38">
        <v>3188.364893611978</v>
      </c>
      <c r="D38">
        <v>3122.1153967904675</v>
      </c>
      <c r="E38">
        <v>3071.337746046122</v>
      </c>
      <c r="F38">
        <v>3032.3101857948045</v>
      </c>
      <c r="G38">
        <v>3002.5592228431601</v>
      </c>
      <c r="H38">
        <v>2980.3686312543705</v>
      </c>
      <c r="I38">
        <v>2964.5050580842394</v>
      </c>
      <c r="J38">
        <v>2954.0605691336391</v>
      </c>
      <c r="L38">
        <v>0.7</v>
      </c>
      <c r="M38">
        <v>1804.0905545961673</v>
      </c>
      <c r="N38">
        <v>1684.0249489228693</v>
      </c>
      <c r="O38">
        <v>1582.6006670247264</v>
      </c>
      <c r="P38">
        <v>1494.5201080228555</v>
      </c>
      <c r="Q38">
        <v>1416.4810070063934</v>
      </c>
      <c r="R38">
        <v>1346.2804466017074</v>
      </c>
      <c r="S38">
        <v>1282.374489608354</v>
      </c>
      <c r="T38">
        <v>1223.6368178652358</v>
      </c>
      <c r="U38">
        <v>1169.2191612756922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v>2.9033629897156921</v>
      </c>
      <c r="C45">
        <v>2.7673433168077577</v>
      </c>
      <c r="D45">
        <v>2.6656037491486044</v>
      </c>
      <c r="E45">
        <v>2.5878020218666502</v>
      </c>
      <c r="F45">
        <v>2.5277143330097842</v>
      </c>
      <c r="G45">
        <v>2.4813277864125691</v>
      </c>
      <c r="H45">
        <v>2.4459201868487632</v>
      </c>
      <c r="I45">
        <v>2.4195800693536067</v>
      </c>
      <c r="J45">
        <v>2.4009293002856977</v>
      </c>
      <c r="K45" t="s">
        <v>105</v>
      </c>
      <c r="L45">
        <v>0</v>
      </c>
      <c r="M45">
        <v>1.390829547388031</v>
      </c>
      <c r="N45">
        <v>1.263382170334695</v>
      </c>
      <c r="O45">
        <v>1.1604098588908138</v>
      </c>
      <c r="P45">
        <v>1.0742824532106783</v>
      </c>
      <c r="Q45">
        <v>1.000435318354532</v>
      </c>
      <c r="R45">
        <v>0.93592318223584603</v>
      </c>
      <c r="S45">
        <v>0.87873414144450512</v>
      </c>
      <c r="T45">
        <v>0.82743265744173344</v>
      </c>
      <c r="U45">
        <v>0.78095875133802628</v>
      </c>
      <c r="V45" t="s">
        <v>105</v>
      </c>
    </row>
    <row r="46" spans="1:22" x14ac:dyDescent="0.25">
      <c r="A46">
        <v>0.1</v>
      </c>
      <c r="B46">
        <v>2.9033650473901069</v>
      </c>
      <c r="C46">
        <v>2.7722071170316824</v>
      </c>
      <c r="D46">
        <v>2.6738511983128346</v>
      </c>
      <c r="E46">
        <v>2.5985116382938327</v>
      </c>
      <c r="F46">
        <v>2.5402705766546658</v>
      </c>
      <c r="G46">
        <v>2.495292406055714</v>
      </c>
      <c r="H46">
        <v>2.4609686655322327</v>
      </c>
      <c r="I46">
        <v>2.4354613948042458</v>
      </c>
      <c r="J46">
        <v>2.4174409131833849</v>
      </c>
      <c r="K46" t="s">
        <v>105</v>
      </c>
      <c r="L46">
        <v>0.1</v>
      </c>
      <c r="M46">
        <v>1.3908287078406218</v>
      </c>
      <c r="N46">
        <v>1.2667829403311031</v>
      </c>
      <c r="O46">
        <v>1.166068352759337</v>
      </c>
      <c r="P46">
        <v>1.0814970884649908</v>
      </c>
      <c r="Q46">
        <v>1.0087442874945289</v>
      </c>
      <c r="R46">
        <v>0.94500720491787416</v>
      </c>
      <c r="S46">
        <v>0.88836347761800161</v>
      </c>
      <c r="T46">
        <v>0.83743810406560026</v>
      </c>
      <c r="U46">
        <v>0.79121331913159609</v>
      </c>
      <c r="V46" t="s">
        <v>105</v>
      </c>
    </row>
    <row r="47" spans="1:22" x14ac:dyDescent="0.25">
      <c r="A47">
        <v>0.2</v>
      </c>
      <c r="B47">
        <v>2.9033652704354411</v>
      </c>
      <c r="C47">
        <v>2.7770946775253944</v>
      </c>
      <c r="D47">
        <v>2.682168801329107</v>
      </c>
      <c r="E47">
        <v>2.6093433279226272</v>
      </c>
      <c r="F47">
        <v>2.552998373880111</v>
      </c>
      <c r="G47">
        <v>2.5094739368937216</v>
      </c>
      <c r="H47">
        <v>2.4762742119246361</v>
      </c>
      <c r="I47">
        <v>2.4516342987704887</v>
      </c>
      <c r="J47">
        <v>2.434273572992713</v>
      </c>
      <c r="K47" t="s">
        <v>105</v>
      </c>
      <c r="L47">
        <v>0.2</v>
      </c>
      <c r="M47">
        <v>1.3908294422455745</v>
      </c>
      <c r="N47">
        <v>1.2702047037367212</v>
      </c>
      <c r="O47">
        <v>1.1717902046472868</v>
      </c>
      <c r="P47">
        <v>1.0888232416884569</v>
      </c>
      <c r="Q47">
        <v>1.017212005927183</v>
      </c>
      <c r="R47">
        <v>0.95429375404269701</v>
      </c>
      <c r="S47">
        <v>0.89823514526970727</v>
      </c>
      <c r="T47">
        <v>0.84772144750383738</v>
      </c>
      <c r="U47">
        <v>0.80177687520730445</v>
      </c>
      <c r="V47" t="s">
        <v>105</v>
      </c>
    </row>
    <row r="48" spans="1:22" x14ac:dyDescent="0.25">
      <c r="A48">
        <v>0.3</v>
      </c>
      <c r="B48">
        <v>2.9033654734048571</v>
      </c>
      <c r="C48">
        <v>2.7820064906155819</v>
      </c>
      <c r="D48">
        <v>2.6905579574003302</v>
      </c>
      <c r="E48">
        <v>2.6202999065977539</v>
      </c>
      <c r="F48">
        <v>2.5659026431723864</v>
      </c>
      <c r="G48">
        <v>2.5238796013123976</v>
      </c>
      <c r="H48">
        <v>2.4918464279043047</v>
      </c>
      <c r="I48">
        <v>2.4681108683360855</v>
      </c>
      <c r="J48">
        <v>2.4514416408486861</v>
      </c>
      <c r="K48" t="s">
        <v>105</v>
      </c>
      <c r="L48">
        <v>0.3</v>
      </c>
      <c r="M48">
        <v>1.3908281146387393</v>
      </c>
      <c r="N48">
        <v>1.2736479144007831</v>
      </c>
      <c r="O48">
        <v>1.1775767027784652</v>
      </c>
      <c r="P48">
        <v>1.0962632098359864</v>
      </c>
      <c r="Q48">
        <v>1.0258430864614467</v>
      </c>
      <c r="R48">
        <v>0.9637897973246895</v>
      </c>
      <c r="S48">
        <v>0.90835870982751654</v>
      </c>
      <c r="T48">
        <v>0.85829467421684447</v>
      </c>
      <c r="U48">
        <v>0.81266395880912778</v>
      </c>
      <c r="V48" t="s">
        <v>105</v>
      </c>
    </row>
    <row r="49" spans="1:22" x14ac:dyDescent="0.25">
      <c r="A49">
        <v>0.4</v>
      </c>
      <c r="B49">
        <v>2.9033655600532198</v>
      </c>
      <c r="C49">
        <v>2.7869422773879036</v>
      </c>
      <c r="D49">
        <v>2.6990197236359594</v>
      </c>
      <c r="E49">
        <v>2.6313840678392313</v>
      </c>
      <c r="F49">
        <v>2.578988363902309</v>
      </c>
      <c r="G49">
        <v>2.5385170249093365</v>
      </c>
      <c r="H49">
        <v>2.5076954443969126</v>
      </c>
      <c r="I49">
        <v>2.4849038733583866</v>
      </c>
      <c r="J49">
        <v>2.4689604218392267</v>
      </c>
      <c r="K49" t="s">
        <v>105</v>
      </c>
      <c r="L49">
        <v>0.4</v>
      </c>
      <c r="M49">
        <v>1.3908281541345449</v>
      </c>
      <c r="N49">
        <v>1.277112568841976</v>
      </c>
      <c r="O49">
        <v>1.1834289046980797</v>
      </c>
      <c r="P49">
        <v>1.103820122748367</v>
      </c>
      <c r="Q49">
        <v>1.034642420648652</v>
      </c>
      <c r="R49">
        <v>0.97350290269857231</v>
      </c>
      <c r="S49">
        <v>0.91874423296242835</v>
      </c>
      <c r="T49">
        <v>0.86917058611887543</v>
      </c>
      <c r="U49">
        <v>0.82389014572249464</v>
      </c>
      <c r="V49" t="s">
        <v>105</v>
      </c>
    </row>
    <row r="50" spans="1:22" x14ac:dyDescent="0.25">
      <c r="A50">
        <v>0.5</v>
      </c>
      <c r="B50">
        <v>2.9033654514967782</v>
      </c>
      <c r="C50">
        <v>2.7919024253175411</v>
      </c>
      <c r="D50">
        <v>2.7075553705781363</v>
      </c>
      <c r="E50">
        <v>2.6425990729950111</v>
      </c>
      <c r="F50">
        <v>2.5922608720185734</v>
      </c>
      <c r="G50">
        <v>2.5533940989431589</v>
      </c>
      <c r="H50">
        <v>2.5238319432149954</v>
      </c>
      <c r="I50">
        <v>2.5020268679267024</v>
      </c>
      <c r="J50">
        <v>2.4868463601362718</v>
      </c>
      <c r="K50" t="s">
        <v>105</v>
      </c>
      <c r="L50">
        <v>0.5</v>
      </c>
      <c r="M50">
        <v>1.3908281992362828</v>
      </c>
      <c r="N50">
        <v>1.280598967312164</v>
      </c>
      <c r="O50">
        <v>1.1893483388469726</v>
      </c>
      <c r="P50">
        <v>1.1114967488070886</v>
      </c>
      <c r="Q50">
        <v>1.0436150555655734</v>
      </c>
      <c r="R50">
        <v>0.98344079326036038</v>
      </c>
      <c r="S50">
        <v>0.9294023516089488</v>
      </c>
      <c r="T50">
        <v>0.88036279402618722</v>
      </c>
      <c r="U50">
        <v>0.83547199293470809</v>
      </c>
      <c r="V50" t="s">
        <v>105</v>
      </c>
    </row>
    <row r="51" spans="1:22" x14ac:dyDescent="0.25">
      <c r="A51">
        <v>0.6</v>
      </c>
      <c r="B51">
        <v>2.9033654054700193</v>
      </c>
      <c r="C51">
        <v>2.7968870817136189</v>
      </c>
      <c r="D51">
        <v>2.7161661019852259</v>
      </c>
      <c r="E51">
        <v>2.6539475824751753</v>
      </c>
      <c r="F51">
        <v>2.6057257491663917</v>
      </c>
      <c r="G51">
        <v>2.5685190654500727</v>
      </c>
      <c r="H51">
        <v>2.5402671617867192</v>
      </c>
      <c r="I51">
        <v>2.5194942259646087</v>
      </c>
      <c r="J51">
        <v>2.5051169892305096</v>
      </c>
      <c r="K51" t="s">
        <v>105</v>
      </c>
      <c r="L51">
        <v>0.6</v>
      </c>
      <c r="M51">
        <v>1.3908280580263606</v>
      </c>
      <c r="N51">
        <v>1.2841072833191034</v>
      </c>
      <c r="O51">
        <v>1.1953355000395933</v>
      </c>
      <c r="P51">
        <v>1.1192962056563025</v>
      </c>
      <c r="Q51">
        <v>1.0527664757020352</v>
      </c>
      <c r="R51">
        <v>0.99361153443816785</v>
      </c>
      <c r="S51">
        <v>0.94034425731973748</v>
      </c>
      <c r="T51">
        <v>0.89188575147637261</v>
      </c>
      <c r="U51">
        <v>0.84742723461335534</v>
      </c>
      <c r="V51" t="s">
        <v>105</v>
      </c>
    </row>
    <row r="52" spans="1:22" x14ac:dyDescent="0.25">
      <c r="A52">
        <v>0.7</v>
      </c>
      <c r="B52">
        <v>2.9033655588253477</v>
      </c>
      <c r="C52">
        <v>2.8018964760809113</v>
      </c>
      <c r="D52">
        <v>2.7248532458438954</v>
      </c>
      <c r="E52">
        <v>2.665432878443518</v>
      </c>
      <c r="F52">
        <v>2.6193887030103102</v>
      </c>
      <c r="G52">
        <v>2.5839006314466175</v>
      </c>
      <c r="H52">
        <v>2.5570130233121353</v>
      </c>
      <c r="I52">
        <v>2.537321090433454</v>
      </c>
      <c r="J52">
        <v>2.5237909591381795</v>
      </c>
      <c r="L52">
        <v>0.7</v>
      </c>
      <c r="M52">
        <v>1.3908282947209494</v>
      </c>
      <c r="N52">
        <v>1.2876380051675986</v>
      </c>
      <c r="O52">
        <v>1.2013921705182196</v>
      </c>
      <c r="P52">
        <v>1.127221502001627</v>
      </c>
      <c r="Q52">
        <v>1.062102176516013</v>
      </c>
      <c r="R52">
        <v>1.0040238229662306</v>
      </c>
      <c r="S52">
        <v>0.95158186814455614</v>
      </c>
      <c r="T52">
        <v>0.90375462426964159</v>
      </c>
      <c r="U52">
        <v>0.85977474029388501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6C1E-C276-4939-8C5D-6CCBF285046D}">
  <dimension ref="A2:AG52"/>
  <sheetViews>
    <sheetView topLeftCell="A31" workbookViewId="0">
      <selection activeCell="M45" sqref="M45:V52"/>
    </sheetView>
  </sheetViews>
  <sheetFormatPr defaultColWidth="9.140625"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v>413.06058258112847</v>
      </c>
      <c r="C3">
        <v>400.25754873475938</v>
      </c>
      <c r="D3">
        <v>388.87279782455607</v>
      </c>
      <c r="E3">
        <v>378.6823620341342</v>
      </c>
      <c r="F3">
        <v>369.51808185378405</v>
      </c>
      <c r="G3">
        <v>361.24929856105024</v>
      </c>
      <c r="H3">
        <v>353.77175088466225</v>
      </c>
      <c r="I3">
        <v>347.00044733002159</v>
      </c>
      <c r="J3">
        <v>340.8648802282998</v>
      </c>
      <c r="K3" t="s">
        <v>105</v>
      </c>
      <c r="L3">
        <v>0</v>
      </c>
      <c r="M3">
        <v>297.0870962560935</v>
      </c>
      <c r="N3">
        <v>297.02920324558426</v>
      </c>
      <c r="O3">
        <v>296.90651115197954</v>
      </c>
      <c r="P3">
        <v>296.76566185061006</v>
      </c>
      <c r="Q3">
        <v>296.63026111337768</v>
      </c>
      <c r="R3">
        <v>296.51201090484517</v>
      </c>
      <c r="S3">
        <v>296.41626596168697</v>
      </c>
      <c r="T3">
        <v>296.34482081626066</v>
      </c>
      <c r="U3">
        <v>296.2974620894181</v>
      </c>
      <c r="V3" t="s">
        <v>105</v>
      </c>
      <c r="W3">
        <v>0</v>
      </c>
      <c r="X3">
        <v>115.97348632503498</v>
      </c>
      <c r="Y3">
        <v>103.22834548917515</v>
      </c>
      <c r="Z3">
        <v>91.96628667257653</v>
      </c>
      <c r="AA3">
        <v>81.916700183524185</v>
      </c>
      <c r="AB3">
        <v>72.887820740406397</v>
      </c>
      <c r="AC3">
        <v>64.737287656205069</v>
      </c>
      <c r="AD3">
        <v>57.355484922975258</v>
      </c>
      <c r="AE3">
        <v>50.655626513760915</v>
      </c>
      <c r="AF3">
        <v>44.567418138881706</v>
      </c>
      <c r="AG3" t="s">
        <v>105</v>
      </c>
    </row>
    <row r="4" spans="1:33" x14ac:dyDescent="0.25">
      <c r="A4">
        <v>0.1</v>
      </c>
      <c r="B4">
        <v>413.06058258112836</v>
      </c>
      <c r="C4">
        <v>400.71740848317864</v>
      </c>
      <c r="D4">
        <v>389.7253772800961</v>
      </c>
      <c r="E4">
        <v>379.8754645782376</v>
      </c>
      <c r="F4">
        <v>371.0099433807402</v>
      </c>
      <c r="G4">
        <v>363.0057399487207</v>
      </c>
      <c r="H4">
        <v>355.76428333485131</v>
      </c>
      <c r="I4">
        <v>349.2049590009176</v>
      </c>
      <c r="J4">
        <v>343.26069544771872</v>
      </c>
      <c r="K4" t="s">
        <v>105</v>
      </c>
      <c r="L4">
        <v>0.1</v>
      </c>
      <c r="M4">
        <v>297.08709625609168</v>
      </c>
      <c r="N4">
        <v>297.49131279691341</v>
      </c>
      <c r="O4">
        <v>297.76572561362775</v>
      </c>
      <c r="P4">
        <v>297.97001978755424</v>
      </c>
      <c r="Q4">
        <v>298.13742840996326</v>
      </c>
      <c r="R4">
        <v>298.28695909941234</v>
      </c>
      <c r="S4">
        <v>298.42959450068156</v>
      </c>
      <c r="T4">
        <v>298.57155151474075</v>
      </c>
      <c r="U4">
        <v>298.71613720812809</v>
      </c>
      <c r="V4" t="s">
        <v>105</v>
      </c>
      <c r="W4">
        <v>0.1</v>
      </c>
      <c r="X4">
        <v>115.97348632503669</v>
      </c>
      <c r="Y4">
        <v>103.22609568626525</v>
      </c>
      <c r="Z4">
        <v>91.959651666468332</v>
      </c>
      <c r="AA4">
        <v>81.905444790683362</v>
      </c>
      <c r="AB4">
        <v>72.872514970776905</v>
      </c>
      <c r="AC4">
        <v>64.718780849308331</v>
      </c>
      <c r="AD4">
        <v>57.334688834169725</v>
      </c>
      <c r="AE4">
        <v>50.633407486176871</v>
      </c>
      <c r="AF4">
        <v>44.544558239590593</v>
      </c>
      <c r="AG4" t="s">
        <v>105</v>
      </c>
    </row>
    <row r="5" spans="1:33" x14ac:dyDescent="0.25">
      <c r="A5">
        <v>0.2</v>
      </c>
      <c r="B5">
        <v>413.06058258114126</v>
      </c>
      <c r="C5">
        <v>401.17823307797238</v>
      </c>
      <c r="D5">
        <v>390.58118032364638</v>
      </c>
      <c r="E5">
        <v>381.07472144721214</v>
      </c>
      <c r="F5">
        <v>372.51120749157775</v>
      </c>
      <c r="G5">
        <v>364.77494123316222</v>
      </c>
      <c r="H5">
        <v>357.77291772059357</v>
      </c>
      <c r="I5">
        <v>351.42882549434319</v>
      </c>
      <c r="J5">
        <v>345.67898649041348</v>
      </c>
      <c r="K5" t="s">
        <v>105</v>
      </c>
      <c r="L5">
        <v>0.2</v>
      </c>
      <c r="M5">
        <v>297.08709625609902</v>
      </c>
      <c r="N5">
        <v>297.95533852689027</v>
      </c>
      <c r="O5">
        <v>298.63138938092919</v>
      </c>
      <c r="P5">
        <v>299.18674115647281</v>
      </c>
      <c r="Q5">
        <v>299.66354610286328</v>
      </c>
      <c r="R5">
        <v>300.08769269613998</v>
      </c>
      <c r="S5">
        <v>300.47552818731231</v>
      </c>
      <c r="T5">
        <v>300.83753739526281</v>
      </c>
      <c r="U5">
        <v>301.18045651685469</v>
      </c>
      <c r="V5" t="s">
        <v>105</v>
      </c>
      <c r="W5">
        <v>0.2</v>
      </c>
      <c r="X5">
        <v>115.97348632504227</v>
      </c>
      <c r="Y5">
        <v>103.22289455108211</v>
      </c>
      <c r="Z5">
        <v>91.949790942717129</v>
      </c>
      <c r="AA5">
        <v>81.887980290739378</v>
      </c>
      <c r="AB5">
        <v>72.847661388714513</v>
      </c>
      <c r="AC5">
        <v>64.687248537022299</v>
      </c>
      <c r="AD5">
        <v>57.297389533281255</v>
      </c>
      <c r="AE5">
        <v>50.591288099080373</v>
      </c>
      <c r="AF5">
        <v>44.498529973558746</v>
      </c>
      <c r="AG5" t="s">
        <v>105</v>
      </c>
    </row>
    <row r="6" spans="1:33" x14ac:dyDescent="0.25">
      <c r="A6">
        <v>0.3</v>
      </c>
      <c r="B6">
        <v>413.06058258119134</v>
      </c>
      <c r="C6">
        <v>401.64002807857986</v>
      </c>
      <c r="D6">
        <v>391.44024087161358</v>
      </c>
      <c r="E6">
        <v>382.28022214586576</v>
      </c>
      <c r="F6">
        <v>374.02204344457738</v>
      </c>
      <c r="G6">
        <v>366.55717054973604</v>
      </c>
      <c r="H6">
        <v>359.79803512182076</v>
      </c>
      <c r="I6">
        <v>353.67255047854172</v>
      </c>
      <c r="J6">
        <v>348.12038561210022</v>
      </c>
      <c r="K6" t="s">
        <v>105</v>
      </c>
      <c r="L6">
        <v>0.3</v>
      </c>
      <c r="M6">
        <v>297.0870962561703</v>
      </c>
      <c r="N6">
        <v>298.42129736237331</v>
      </c>
      <c r="O6">
        <v>299.50360028184843</v>
      </c>
      <c r="P6">
        <v>300.41609292414654</v>
      </c>
      <c r="Q6">
        <v>301.20912997154142</v>
      </c>
      <c r="R6">
        <v>301.91503080698345</v>
      </c>
      <c r="S6">
        <v>302.55523571361363</v>
      </c>
      <c r="T6">
        <v>303.14432434980432</v>
      </c>
      <c r="U6">
        <v>303.69236300696008</v>
      </c>
      <c r="V6" t="s">
        <v>105</v>
      </c>
      <c r="W6">
        <v>0.3</v>
      </c>
      <c r="X6">
        <v>115.97348632502104</v>
      </c>
      <c r="Y6">
        <v>103.21873071620658</v>
      </c>
      <c r="Z6">
        <v>91.936640589765133</v>
      </c>
      <c r="AA6">
        <v>81.864129221719224</v>
      </c>
      <c r="AB6">
        <v>72.812913473035977</v>
      </c>
      <c r="AC6">
        <v>64.642139742752533</v>
      </c>
      <c r="AD6">
        <v>57.242799408207084</v>
      </c>
      <c r="AE6">
        <v>50.528226128737401</v>
      </c>
      <c r="AF6">
        <v>44.428022605140107</v>
      </c>
      <c r="AG6" t="s">
        <v>105</v>
      </c>
    </row>
    <row r="7" spans="1:33" x14ac:dyDescent="0.25">
      <c r="A7">
        <v>0.4</v>
      </c>
      <c r="B7">
        <v>413.06058258119504</v>
      </c>
      <c r="C7">
        <v>402.10279909585103</v>
      </c>
      <c r="D7">
        <v>392.30259341347829</v>
      </c>
      <c r="E7">
        <v>383.49205827246357</v>
      </c>
      <c r="F7">
        <v>375.54262540503947</v>
      </c>
      <c r="G7">
        <v>368.35270512098737</v>
      </c>
      <c r="H7">
        <v>361.84003118398942</v>
      </c>
      <c r="I7">
        <v>355.93665881854372</v>
      </c>
      <c r="J7">
        <v>350.58555387131588</v>
      </c>
      <c r="K7" t="s">
        <v>105</v>
      </c>
      <c r="L7">
        <v>0.4</v>
      </c>
      <c r="M7">
        <v>297.08709625615381</v>
      </c>
      <c r="N7">
        <v>298.88920536779369</v>
      </c>
      <c r="O7">
        <v>300.38246293407298</v>
      </c>
      <c r="P7">
        <v>301.65835511164227</v>
      </c>
      <c r="Q7">
        <v>302.77471511990728</v>
      </c>
      <c r="R7">
        <v>303.76982988203969</v>
      </c>
      <c r="S7">
        <v>304.66993107965396</v>
      </c>
      <c r="T7">
        <v>305.49354521945656</v>
      </c>
      <c r="U7">
        <v>306.25391925136682</v>
      </c>
      <c r="V7" t="s">
        <v>105</v>
      </c>
      <c r="W7">
        <v>0.4</v>
      </c>
      <c r="X7">
        <v>115.97348632504119</v>
      </c>
      <c r="Y7">
        <v>103.21359372805729</v>
      </c>
      <c r="Z7">
        <v>91.920130479405259</v>
      </c>
      <c r="AA7">
        <v>81.833703160821287</v>
      </c>
      <c r="AB7">
        <v>72.767910285132189</v>
      </c>
      <c r="AC7">
        <v>64.582875238947707</v>
      </c>
      <c r="AD7">
        <v>57.170100104335454</v>
      </c>
      <c r="AE7">
        <v>50.443113599087177</v>
      </c>
      <c r="AF7">
        <v>44.331634619949035</v>
      </c>
      <c r="AG7" t="s">
        <v>105</v>
      </c>
    </row>
    <row r="8" spans="1:33" x14ac:dyDescent="0.25">
      <c r="A8">
        <v>0.5</v>
      </c>
      <c r="B8">
        <v>413.06058258120817</v>
      </c>
      <c r="C8">
        <v>402.56655179264402</v>
      </c>
      <c r="D8">
        <v>393.16827302532141</v>
      </c>
      <c r="E8">
        <v>384.71032358685846</v>
      </c>
      <c r="F8">
        <v>377.0731326433397</v>
      </c>
      <c r="G8">
        <v>370.16183168590487</v>
      </c>
      <c r="H8">
        <v>363.89931689460889</v>
      </c>
      <c r="I8">
        <v>358.22169782199234</v>
      </c>
      <c r="J8">
        <v>353.07518296362201</v>
      </c>
      <c r="K8" t="s">
        <v>105</v>
      </c>
      <c r="L8">
        <v>0.5</v>
      </c>
      <c r="M8">
        <v>297.08709625616569</v>
      </c>
      <c r="N8">
        <v>299.35908022468072</v>
      </c>
      <c r="O8">
        <v>301.26808200053722</v>
      </c>
      <c r="P8">
        <v>302.9138166938755</v>
      </c>
      <c r="Q8">
        <v>304.36085791341623</v>
      </c>
      <c r="R8">
        <v>305.65298526813723</v>
      </c>
      <c r="S8">
        <v>306.8209355269787</v>
      </c>
      <c r="T8">
        <v>307.88692794475566</v>
      </c>
      <c r="U8">
        <v>308.86731946265746</v>
      </c>
      <c r="V8" t="s">
        <v>105</v>
      </c>
      <c r="W8">
        <v>0.5</v>
      </c>
      <c r="X8">
        <v>115.97348632504249</v>
      </c>
      <c r="Y8">
        <v>103.20747156796334</v>
      </c>
      <c r="Z8">
        <v>91.900191024784178</v>
      </c>
      <c r="AA8">
        <v>81.79650689298299</v>
      </c>
      <c r="AB8">
        <v>72.712274729923493</v>
      </c>
      <c r="AC8">
        <v>64.508846417767643</v>
      </c>
      <c r="AD8">
        <v>57.078381367630222</v>
      </c>
      <c r="AE8">
        <v>50.334769877236639</v>
      </c>
      <c r="AF8">
        <v>44.207863500964514</v>
      </c>
      <c r="AG8" t="s">
        <v>105</v>
      </c>
    </row>
    <row r="9" spans="1:33" x14ac:dyDescent="0.25">
      <c r="A9">
        <v>0.6</v>
      </c>
      <c r="B9">
        <v>413.06058258116053</v>
      </c>
      <c r="C9">
        <v>403.03129188453414</v>
      </c>
      <c r="D9">
        <v>394.03731538361353</v>
      </c>
      <c r="E9">
        <v>385.93511408144394</v>
      </c>
      <c r="F9">
        <v>378.61374974334717</v>
      </c>
      <c r="G9">
        <v>371.98484695543027</v>
      </c>
      <c r="H9">
        <v>365.97631941411936</v>
      </c>
      <c r="I9">
        <v>360.52823858002444</v>
      </c>
      <c r="J9">
        <v>355.58999720758897</v>
      </c>
      <c r="K9" t="s">
        <v>105</v>
      </c>
      <c r="L9">
        <v>0.6</v>
      </c>
      <c r="M9">
        <v>297.08709625616524</v>
      </c>
      <c r="N9">
        <v>299.8309388826919</v>
      </c>
      <c r="O9">
        <v>302.16056690825309</v>
      </c>
      <c r="P9">
        <v>304.1827756633478</v>
      </c>
      <c r="Q9">
        <v>305.96813665940812</v>
      </c>
      <c r="R9">
        <v>307.56543380717039</v>
      </c>
      <c r="S9">
        <v>309.00958442352112</v>
      </c>
      <c r="T9">
        <v>310.32629767362238</v>
      </c>
      <c r="U9">
        <v>311.5348928425413</v>
      </c>
      <c r="V9" t="s">
        <v>105</v>
      </c>
      <c r="W9">
        <v>0.6</v>
      </c>
      <c r="X9">
        <v>115.97348632499526</v>
      </c>
      <c r="Y9">
        <v>103.20035300184223</v>
      </c>
      <c r="Z9">
        <v>91.876748475360415</v>
      </c>
      <c r="AA9">
        <v>81.752338418096201</v>
      </c>
      <c r="AB9">
        <v>72.645613083939026</v>
      </c>
      <c r="AC9">
        <v>64.419413148259906</v>
      </c>
      <c r="AD9">
        <v>56.966734990598233</v>
      </c>
      <c r="AE9">
        <v>50.201940906402051</v>
      </c>
      <c r="AF9">
        <v>44.055104365047661</v>
      </c>
      <c r="AG9" t="s">
        <v>105</v>
      </c>
    </row>
    <row r="10" spans="1:33" x14ac:dyDescent="0.25">
      <c r="A10">
        <v>0.7</v>
      </c>
      <c r="B10">
        <v>413.0605825812101</v>
      </c>
      <c r="C10">
        <v>403.49702514049932</v>
      </c>
      <c r="D10">
        <v>394.9097567795111</v>
      </c>
      <c r="E10">
        <v>387.16652805512302</v>
      </c>
      <c r="F10">
        <v>380.16466682184262</v>
      </c>
      <c r="G10">
        <v>373.82205809620262</v>
      </c>
      <c r="H10">
        <v>368.0714829642464</v>
      </c>
      <c r="I10">
        <v>362.85687741211444</v>
      </c>
      <c r="J10">
        <v>358.13075569806961</v>
      </c>
      <c r="L10">
        <v>0.7</v>
      </c>
      <c r="M10">
        <v>297.08709625616979</v>
      </c>
      <c r="N10">
        <v>300.30479802110796</v>
      </c>
      <c r="O10">
        <v>303.06002940566657</v>
      </c>
      <c r="P10">
        <v>305.46553977188421</v>
      </c>
      <c r="Q10">
        <v>307.5971534770087</v>
      </c>
      <c r="R10">
        <v>309.50815553352112</v>
      </c>
      <c r="S10">
        <v>311.23731421625212</v>
      </c>
      <c r="T10">
        <v>312.81359157975453</v>
      </c>
      <c r="U10">
        <v>314.25912069723114</v>
      </c>
      <c r="W10">
        <v>0.7</v>
      </c>
      <c r="X10">
        <v>115.97348632504028</v>
      </c>
      <c r="Y10">
        <v>103.19222711939138</v>
      </c>
      <c r="Z10">
        <v>91.84972737384453</v>
      </c>
      <c r="AA10">
        <v>81.700988283238857</v>
      </c>
      <c r="AB10">
        <v>72.567513344833884</v>
      </c>
      <c r="AC10">
        <v>64.313902562681506</v>
      </c>
      <c r="AD10">
        <v>56.834168747994283</v>
      </c>
      <c r="AE10">
        <v>50.043285832359899</v>
      </c>
      <c r="AF10">
        <v>43.871635000838417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v>1134.4280524520429</v>
      </c>
      <c r="C17">
        <v>1137.0119103851609</v>
      </c>
      <c r="D17">
        <v>1138.8517352040922</v>
      </c>
      <c r="E17">
        <v>1140.1888982849866</v>
      </c>
      <c r="F17">
        <v>1141.1687535290391</v>
      </c>
      <c r="G17">
        <v>1141.8842500442759</v>
      </c>
      <c r="H17">
        <v>1142.3968741145675</v>
      </c>
      <c r="I17">
        <v>1142.7488510791864</v>
      </c>
      <c r="J17">
        <v>1142.9698891879032</v>
      </c>
      <c r="K17" t="s">
        <v>105</v>
      </c>
      <c r="L17">
        <v>0</v>
      </c>
      <c r="M17">
        <v>509.44395720138937</v>
      </c>
      <c r="N17">
        <v>464.11311128103785</v>
      </c>
      <c r="O17">
        <v>423.91528530144643</v>
      </c>
      <c r="P17">
        <v>387.79185899046882</v>
      </c>
      <c r="Q17">
        <v>355.00858883157798</v>
      </c>
      <c r="R17">
        <v>325.03081732591249</v>
      </c>
      <c r="S17">
        <v>297.45502527818286</v>
      </c>
      <c r="T17">
        <v>271.96715846250879</v>
      </c>
      <c r="U17">
        <v>248.31754480791133</v>
      </c>
      <c r="V17" t="s">
        <v>105</v>
      </c>
    </row>
    <row r="18" spans="1:22" x14ac:dyDescent="0.25">
      <c r="A18">
        <v>0.1</v>
      </c>
      <c r="B18">
        <v>1134.4280515351911</v>
      </c>
      <c r="C18">
        <v>1138.6707228814435</v>
      </c>
      <c r="D18">
        <v>1141.9208167642569</v>
      </c>
      <c r="E18">
        <v>1144.472415815259</v>
      </c>
      <c r="F18">
        <v>1146.5090919553129</v>
      </c>
      <c r="G18">
        <v>1148.1518312589251</v>
      </c>
      <c r="H18">
        <v>1149.4834711966437</v>
      </c>
      <c r="I18">
        <v>1150.5627791729032</v>
      </c>
      <c r="J18">
        <v>1151.4325332683013</v>
      </c>
      <c r="K18" t="s">
        <v>105</v>
      </c>
      <c r="L18">
        <v>0.1</v>
      </c>
      <c r="M18">
        <v>509.44396151086477</v>
      </c>
      <c r="N18">
        <v>463.76613325005928</v>
      </c>
      <c r="O18">
        <v>423.23259748896157</v>
      </c>
      <c r="P18">
        <v>386.79379313804606</v>
      </c>
      <c r="Q18">
        <v>353.71833508245248</v>
      </c>
      <c r="R18">
        <v>323.47231284405257</v>
      </c>
      <c r="S18">
        <v>295.65138210141271</v>
      </c>
      <c r="T18">
        <v>269.94036874750248</v>
      </c>
      <c r="U18">
        <v>246.08827054896338</v>
      </c>
      <c r="V18" t="s">
        <v>105</v>
      </c>
    </row>
    <row r="19" spans="1:22" x14ac:dyDescent="0.25">
      <c r="A19">
        <v>0.2</v>
      </c>
      <c r="B19">
        <v>1134.428056243258</v>
      </c>
      <c r="C19">
        <v>1140.337069632187</v>
      </c>
      <c r="D19">
        <v>1145.0149306340902</v>
      </c>
      <c r="E19">
        <v>1148.8036382268681</v>
      </c>
      <c r="F19">
        <v>1151.9220514136534</v>
      </c>
      <c r="G19">
        <v>1154.5175214690425</v>
      </c>
      <c r="H19">
        <v>1156.6933214411497</v>
      </c>
      <c r="I19">
        <v>1158.5241773476569</v>
      </c>
      <c r="J19">
        <v>1160.0656286125559</v>
      </c>
      <c r="K19" t="s">
        <v>105</v>
      </c>
      <c r="L19">
        <v>0.2</v>
      </c>
      <c r="M19">
        <v>509.44398129270854</v>
      </c>
      <c r="N19">
        <v>463.41564092905588</v>
      </c>
      <c r="O19">
        <v>422.53779332158001</v>
      </c>
      <c r="P19">
        <v>385.77202709704727</v>
      </c>
      <c r="Q19">
        <v>352.39146849975276</v>
      </c>
      <c r="R19">
        <v>321.86361016053434</v>
      </c>
      <c r="S19">
        <v>293.78387211464741</v>
      </c>
      <c r="T19">
        <v>267.83633045098617</v>
      </c>
      <c r="U19">
        <v>243.7688401536191</v>
      </c>
      <c r="V19" t="s">
        <v>105</v>
      </c>
    </row>
    <row r="20" spans="1:22" x14ac:dyDescent="0.25">
      <c r="A20">
        <v>0.3</v>
      </c>
      <c r="B20">
        <v>1134.4281525818637</v>
      </c>
      <c r="C20">
        <v>1142.011010272784</v>
      </c>
      <c r="D20">
        <v>1148.1345372684655</v>
      </c>
      <c r="E20">
        <v>1153.1836993728587</v>
      </c>
      <c r="F20">
        <v>1157.4096693643844</v>
      </c>
      <c r="G20">
        <v>1160.9845592349225</v>
      </c>
      <c r="H20">
        <v>1164.0309838644566</v>
      </c>
      <c r="I20">
        <v>1166.6390640818317</v>
      </c>
      <c r="J20">
        <v>1168.8766998963729</v>
      </c>
      <c r="K20" t="s">
        <v>105</v>
      </c>
      <c r="L20">
        <v>0.3</v>
      </c>
      <c r="M20">
        <v>509.44393158443762</v>
      </c>
      <c r="N20">
        <v>463.0615586031978</v>
      </c>
      <c r="O20">
        <v>421.83058617187311</v>
      </c>
      <c r="P20">
        <v>384.72592824654646</v>
      </c>
      <c r="Q20">
        <v>351.02679317306411</v>
      </c>
      <c r="R20">
        <v>320.20271204483078</v>
      </c>
      <c r="S20">
        <v>291.84970113694078</v>
      </c>
      <c r="T20">
        <v>265.65128387511578</v>
      </c>
      <c r="U20">
        <v>241.35451290616925</v>
      </c>
      <c r="V20" t="s">
        <v>105</v>
      </c>
    </row>
    <row r="21" spans="1:22" x14ac:dyDescent="0.25">
      <c r="A21">
        <v>0.4</v>
      </c>
      <c r="B21">
        <v>1134.4281055358754</v>
      </c>
      <c r="C21">
        <v>1143.6926269675662</v>
      </c>
      <c r="D21">
        <v>1151.2800696592717</v>
      </c>
      <c r="E21">
        <v>1157.613716493395</v>
      </c>
      <c r="F21">
        <v>1162.9740957067897</v>
      </c>
      <c r="G21">
        <v>1167.5563345271523</v>
      </c>
      <c r="H21">
        <v>1171.5013685824508</v>
      </c>
      <c r="I21">
        <v>1174.9138167862634</v>
      </c>
      <c r="J21">
        <v>1177.8737433476888</v>
      </c>
      <c r="K21" t="s">
        <v>105</v>
      </c>
      <c r="L21">
        <v>0.4</v>
      </c>
      <c r="M21">
        <v>509.44402691019786</v>
      </c>
      <c r="N21">
        <v>462.70385271723677</v>
      </c>
      <c r="O21">
        <v>421.11067820120172</v>
      </c>
      <c r="P21">
        <v>383.6548670348929</v>
      </c>
      <c r="Q21">
        <v>349.62292763745569</v>
      </c>
      <c r="R21">
        <v>318.48752790897174</v>
      </c>
      <c r="S21">
        <v>289.84581787641906</v>
      </c>
      <c r="T21">
        <v>263.38121336303527</v>
      </c>
      <c r="U21">
        <v>238.84023450054298</v>
      </c>
      <c r="V21" t="s">
        <v>105</v>
      </c>
    </row>
    <row r="22" spans="1:22" x14ac:dyDescent="0.25">
      <c r="A22">
        <v>0.5</v>
      </c>
      <c r="B22">
        <v>1134.4281265075051</v>
      </c>
      <c r="C22">
        <v>1145.381979597347</v>
      </c>
      <c r="D22">
        <v>1154.4519941588967</v>
      </c>
      <c r="E22">
        <v>1162.0948507327646</v>
      </c>
      <c r="F22">
        <v>1168.6175491623339</v>
      </c>
      <c r="G22">
        <v>1174.236403444972</v>
      </c>
      <c r="H22">
        <v>1179.1093979892376</v>
      </c>
      <c r="I22">
        <v>1183.3551816984577</v>
      </c>
      <c r="J22">
        <v>1187.0652552684442</v>
      </c>
      <c r="K22" t="s">
        <v>105</v>
      </c>
      <c r="L22">
        <v>0.5</v>
      </c>
      <c r="M22">
        <v>509.44402103631035</v>
      </c>
      <c r="N22">
        <v>462.34246169959789</v>
      </c>
      <c r="O22">
        <v>420.37781886169796</v>
      </c>
      <c r="P22">
        <v>382.55812938220151</v>
      </c>
      <c r="Q22">
        <v>348.17853692286252</v>
      </c>
      <c r="R22">
        <v>316.71585695130386</v>
      </c>
      <c r="S22">
        <v>287.76897105922831</v>
      </c>
      <c r="T22">
        <v>261.02186105306367</v>
      </c>
      <c r="U22">
        <v>236.22058379140066</v>
      </c>
      <c r="V22" t="s">
        <v>105</v>
      </c>
    </row>
    <row r="23" spans="1:22" x14ac:dyDescent="0.25">
      <c r="A23">
        <v>0.6</v>
      </c>
      <c r="B23">
        <v>1134.428125668582</v>
      </c>
      <c r="C23">
        <v>1147.0791498126423</v>
      </c>
      <c r="D23">
        <v>1157.6507492312708</v>
      </c>
      <c r="E23">
        <v>1166.628301542577</v>
      </c>
      <c r="F23">
        <v>1174.3423433159426</v>
      </c>
      <c r="G23">
        <v>1181.0284858883545</v>
      </c>
      <c r="H23">
        <v>1186.8605279545316</v>
      </c>
      <c r="I23">
        <v>1191.9702998341702</v>
      </c>
      <c r="J23">
        <v>1196.4603049874972</v>
      </c>
      <c r="K23" t="s">
        <v>105</v>
      </c>
      <c r="L23">
        <v>0.6</v>
      </c>
      <c r="M23">
        <v>509.44389986228555</v>
      </c>
      <c r="N23">
        <v>461.97733762631429</v>
      </c>
      <c r="O23">
        <v>419.63176947489222</v>
      </c>
      <c r="P23">
        <v>381.43498734161102</v>
      </c>
      <c r="Q23">
        <v>346.69220370277918</v>
      </c>
      <c r="R23">
        <v>314.8854045205025</v>
      </c>
      <c r="S23">
        <v>285.61593464441444</v>
      </c>
      <c r="T23">
        <v>258.56875345909333</v>
      </c>
      <c r="U23">
        <v>233.48977757515894</v>
      </c>
      <c r="V23" t="s">
        <v>105</v>
      </c>
    </row>
    <row r="24" spans="1:22" x14ac:dyDescent="0.25">
      <c r="A24">
        <v>0.7</v>
      </c>
      <c r="B24">
        <v>1134.428158961621</v>
      </c>
      <c r="C24">
        <v>1148.7842113453305</v>
      </c>
      <c r="D24">
        <v>1160.8767875745277</v>
      </c>
      <c r="E24">
        <v>1171.2153104734373</v>
      </c>
      <c r="F24">
        <v>1180.150894592437</v>
      </c>
      <c r="G24">
        <v>1187.9364462172939</v>
      </c>
      <c r="H24">
        <v>1194.760403170023</v>
      </c>
      <c r="I24">
        <v>1200.7667902880846</v>
      </c>
      <c r="J24">
        <v>1206.0685634785818</v>
      </c>
      <c r="L24">
        <v>0.7</v>
      </c>
      <c r="M24">
        <v>509.44397256885543</v>
      </c>
      <c r="N24">
        <v>461.60847602291904</v>
      </c>
      <c r="O24">
        <v>418.87226729343786</v>
      </c>
      <c r="P24">
        <v>380.28468007522332</v>
      </c>
      <c r="Q24">
        <v>345.16242560847405</v>
      </c>
      <c r="R24">
        <v>312.99381591778751</v>
      </c>
      <c r="S24">
        <v>283.38308984824823</v>
      </c>
      <c r="T24">
        <v>256.0169902571883</v>
      </c>
      <c r="U24">
        <v>230.64160133160706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v>5000.2701038174691</v>
      </c>
      <c r="C31">
        <v>4930.6812190644014</v>
      </c>
      <c r="D31">
        <v>4878.4001548343267</v>
      </c>
      <c r="E31">
        <v>4838.7374450361913</v>
      </c>
      <c r="F31">
        <v>4808.6660620648836</v>
      </c>
      <c r="G31">
        <v>4786.1148174077844</v>
      </c>
      <c r="H31">
        <v>4769.626094328627</v>
      </c>
      <c r="I31">
        <v>4758.1350704385632</v>
      </c>
      <c r="J31">
        <v>4750.8453808448885</v>
      </c>
      <c r="K31" t="s">
        <v>105</v>
      </c>
      <c r="L31">
        <v>0</v>
      </c>
      <c r="M31">
        <v>1804.0909854734696</v>
      </c>
      <c r="N31">
        <v>1648.8382329374119</v>
      </c>
      <c r="O31">
        <v>1518.4908014763555</v>
      </c>
      <c r="P31">
        <v>1406.7764527509064</v>
      </c>
      <c r="Q31">
        <v>1309.5068761679006</v>
      </c>
      <c r="R31">
        <v>1223.7460915978377</v>
      </c>
      <c r="S31">
        <v>1147.3497133451392</v>
      </c>
      <c r="T31">
        <v>1078.7082083353648</v>
      </c>
      <c r="U31">
        <v>1016.5800778321553</v>
      </c>
      <c r="V31" t="s">
        <v>105</v>
      </c>
    </row>
    <row r="32" spans="1:22" x14ac:dyDescent="0.25">
      <c r="A32">
        <v>0.1</v>
      </c>
      <c r="B32">
        <v>5000.2701278004461</v>
      </c>
      <c r="C32">
        <v>4937.6166970688228</v>
      </c>
      <c r="D32">
        <v>4890.7641036146679</v>
      </c>
      <c r="E32">
        <v>4855.4809456618068</v>
      </c>
      <c r="F32">
        <v>4829.0144714676999</v>
      </c>
      <c r="G32">
        <v>4809.4798878541833</v>
      </c>
      <c r="H32">
        <v>4795.5450709842535</v>
      </c>
      <c r="I32">
        <v>4786.2343732885101</v>
      </c>
      <c r="J32">
        <v>4780.8154882532317</v>
      </c>
      <c r="K32" t="s">
        <v>105</v>
      </c>
      <c r="L32">
        <v>0.1</v>
      </c>
      <c r="M32">
        <v>1804.0909305662833</v>
      </c>
      <c r="N32">
        <v>1652.4420411691274</v>
      </c>
      <c r="O32">
        <v>1524.494516054323</v>
      </c>
      <c r="P32">
        <v>1414.3980455296783</v>
      </c>
      <c r="Q32">
        <v>1318.2199054531427</v>
      </c>
      <c r="R32">
        <v>1233.181839216656</v>
      </c>
      <c r="S32">
        <v>1157.2466323188908</v>
      </c>
      <c r="T32">
        <v>1088.8769222982503</v>
      </c>
      <c r="U32">
        <v>1026.8822657105636</v>
      </c>
      <c r="V32" t="s">
        <v>105</v>
      </c>
    </row>
    <row r="33" spans="1:22" x14ac:dyDescent="0.25">
      <c r="A33">
        <v>0.2</v>
      </c>
      <c r="B33">
        <v>5000.27000464702</v>
      </c>
      <c r="C33">
        <v>4944.5849677742999</v>
      </c>
      <c r="D33">
        <v>4903.2338296124553</v>
      </c>
      <c r="E33">
        <v>4872.4152686321268</v>
      </c>
      <c r="F33">
        <v>4849.6426695236096</v>
      </c>
      <c r="G33">
        <v>4833.2127755651654</v>
      </c>
      <c r="H33">
        <v>4821.9148215570203</v>
      </c>
      <c r="I33">
        <v>4814.8615148846029</v>
      </c>
      <c r="J33">
        <v>4811.383963197397</v>
      </c>
      <c r="K33" t="s">
        <v>105</v>
      </c>
      <c r="L33">
        <v>0.2</v>
      </c>
      <c r="M33">
        <v>1804.090678524904</v>
      </c>
      <c r="N33">
        <v>1656.0664857091956</v>
      </c>
      <c r="O33">
        <v>1530.5614684300376</v>
      </c>
      <c r="P33">
        <v>1422.1320422162776</v>
      </c>
      <c r="Q33">
        <v>1327.0913181531937</v>
      </c>
      <c r="R33">
        <v>1242.8174952387008</v>
      </c>
      <c r="S33">
        <v>1167.3795024356132</v>
      </c>
      <c r="T33">
        <v>1099.3118868235767</v>
      </c>
      <c r="U33">
        <v>1037.4758107398829</v>
      </c>
      <c r="V33" t="s">
        <v>105</v>
      </c>
    </row>
    <row r="34" spans="1:22" x14ac:dyDescent="0.25">
      <c r="A34">
        <v>0.3</v>
      </c>
      <c r="B34">
        <v>5000.2674846237214</v>
      </c>
      <c r="C34">
        <v>4951.5865701501425</v>
      </c>
      <c r="D34">
        <v>4915.809738555733</v>
      </c>
      <c r="E34">
        <v>4889.5435897107391</v>
      </c>
      <c r="F34">
        <v>4870.5589762879354</v>
      </c>
      <c r="G34">
        <v>4857.3256644388093</v>
      </c>
      <c r="H34">
        <v>4848.7526195073197</v>
      </c>
      <c r="I34">
        <v>4844.0381580145604</v>
      </c>
      <c r="J34">
        <v>4842.5771458132767</v>
      </c>
      <c r="K34" t="s">
        <v>105</v>
      </c>
      <c r="L34">
        <v>0.3</v>
      </c>
      <c r="M34">
        <v>1804.0913118600663</v>
      </c>
      <c r="N34">
        <v>1659.712132949993</v>
      </c>
      <c r="O34">
        <v>1536.6933428040095</v>
      </c>
      <c r="P34">
        <v>1429.9811387484917</v>
      </c>
      <c r="Q34">
        <v>1336.1253303370515</v>
      </c>
      <c r="R34">
        <v>1252.6599621490743</v>
      </c>
      <c r="S34">
        <v>1177.7570715125003</v>
      </c>
      <c r="T34">
        <v>1110.0243687322077</v>
      </c>
      <c r="U34">
        <v>1048.37414147253</v>
      </c>
      <c r="V34" t="s">
        <v>105</v>
      </c>
    </row>
    <row r="35" spans="1:22" x14ac:dyDescent="0.25">
      <c r="A35">
        <v>0.4</v>
      </c>
      <c r="B35">
        <v>5000.2687152523949</v>
      </c>
      <c r="C35">
        <v>4958.6214346325878</v>
      </c>
      <c r="D35">
        <v>4928.4934716863409</v>
      </c>
      <c r="E35">
        <v>4906.8706436529683</v>
      </c>
      <c r="F35">
        <v>4891.7714215471369</v>
      </c>
      <c r="G35">
        <v>4881.831339453428</v>
      </c>
      <c r="H35">
        <v>4876.0735367453581</v>
      </c>
      <c r="I35">
        <v>4873.7870687737886</v>
      </c>
      <c r="J35">
        <v>4874.4231556029963</v>
      </c>
      <c r="K35" t="s">
        <v>105</v>
      </c>
      <c r="L35">
        <v>0.4</v>
      </c>
      <c r="M35">
        <v>1804.0900973101</v>
      </c>
      <c r="N35">
        <v>1663.3791517335371</v>
      </c>
      <c r="O35">
        <v>1542.8917078164179</v>
      </c>
      <c r="P35">
        <v>1437.9476653883444</v>
      </c>
      <c r="Q35">
        <v>1345.3273872681912</v>
      </c>
      <c r="R35">
        <v>1262.7164119057161</v>
      </c>
      <c r="S35">
        <v>1188.3897611712785</v>
      </c>
      <c r="T35">
        <v>1121.026431349803</v>
      </c>
      <c r="U35">
        <v>1059.5914732169792</v>
      </c>
      <c r="V35" t="s">
        <v>105</v>
      </c>
    </row>
    <row r="36" spans="1:22" x14ac:dyDescent="0.25">
      <c r="A36">
        <v>0.5</v>
      </c>
      <c r="B36">
        <v>5000.268166676793</v>
      </c>
      <c r="C36">
        <v>4965.6901802219563</v>
      </c>
      <c r="D36">
        <v>4941.2859817494627</v>
      </c>
      <c r="E36">
        <v>4924.4011920370449</v>
      </c>
      <c r="F36">
        <v>4913.2887336101776</v>
      </c>
      <c r="G36">
        <v>4906.7430683985294</v>
      </c>
      <c r="H36">
        <v>4903.901505679557</v>
      </c>
      <c r="I36">
        <v>4904.1326390418617</v>
      </c>
      <c r="J36">
        <v>4906.9524210126019</v>
      </c>
      <c r="K36" t="s">
        <v>105</v>
      </c>
      <c r="L36">
        <v>0.5</v>
      </c>
      <c r="M36">
        <v>1804.0901721496487</v>
      </c>
      <c r="N36">
        <v>1667.0679400192939</v>
      </c>
      <c r="O36">
        <v>1549.1577728733671</v>
      </c>
      <c r="P36">
        <v>1446.0345464038328</v>
      </c>
      <c r="Q36">
        <v>1354.7023313992661</v>
      </c>
      <c r="R36">
        <v>1272.9944032220274</v>
      </c>
      <c r="S36">
        <v>1199.2869954378866</v>
      </c>
      <c r="T36">
        <v>1132.3307261701789</v>
      </c>
      <c r="U36">
        <v>1071.1429194584648</v>
      </c>
      <c r="V36" t="s">
        <v>105</v>
      </c>
    </row>
    <row r="37" spans="1:22" x14ac:dyDescent="0.25">
      <c r="A37">
        <v>0.6</v>
      </c>
      <c r="B37">
        <v>5000.2681886213068</v>
      </c>
      <c r="C37">
        <v>4972.7928455787924</v>
      </c>
      <c r="D37">
        <v>4954.1892960394744</v>
      </c>
      <c r="E37">
        <v>4942.1401422319486</v>
      </c>
      <c r="F37">
        <v>4935.1199239269527</v>
      </c>
      <c r="G37">
        <v>4932.0748837970932</v>
      </c>
      <c r="H37">
        <v>4932.2525637918152</v>
      </c>
      <c r="I37">
        <v>4935.1006656529271</v>
      </c>
      <c r="J37">
        <v>4940.1967598633473</v>
      </c>
      <c r="K37" t="s">
        <v>105</v>
      </c>
      <c r="L37">
        <v>0.6</v>
      </c>
      <c r="M37">
        <v>1804.0917160330689</v>
      </c>
      <c r="N37">
        <v>1670.7787994226401</v>
      </c>
      <c r="O37">
        <v>1555.4924634255492</v>
      </c>
      <c r="P37">
        <v>1454.2447133438425</v>
      </c>
      <c r="Q37">
        <v>1364.2553835045314</v>
      </c>
      <c r="R37">
        <v>1283.5017102085401</v>
      </c>
      <c r="S37">
        <v>1210.4594329542108</v>
      </c>
      <c r="T37">
        <v>1143.9503827183908</v>
      </c>
      <c r="U37">
        <v>1083.0446266729095</v>
      </c>
      <c r="V37" t="s">
        <v>105</v>
      </c>
    </row>
    <row r="38" spans="1:22" x14ac:dyDescent="0.25">
      <c r="A38">
        <v>0.7</v>
      </c>
      <c r="B38">
        <v>5000.2673177419692</v>
      </c>
      <c r="C38">
        <v>4979.9296252176027</v>
      </c>
      <c r="D38">
        <v>4967.2053943759229</v>
      </c>
      <c r="E38">
        <v>4960.0925434518576</v>
      </c>
      <c r="F38">
        <v>4957.2743069431772</v>
      </c>
      <c r="G38">
        <v>4957.842126572672</v>
      </c>
      <c r="H38">
        <v>4961.1480459304239</v>
      </c>
      <c r="I38">
        <v>4966.7181140245739</v>
      </c>
      <c r="J38">
        <v>4974.1903071045945</v>
      </c>
      <c r="L38">
        <v>0.7</v>
      </c>
      <c r="M38">
        <v>1804.0907896759256</v>
      </c>
      <c r="N38">
        <v>1674.5115612783418</v>
      </c>
      <c r="O38">
        <v>1561.8969044846308</v>
      </c>
      <c r="P38">
        <v>1462.5812510575784</v>
      </c>
      <c r="Q38">
        <v>1373.992142513262</v>
      </c>
      <c r="R38">
        <v>1294.2460017251112</v>
      </c>
      <c r="S38">
        <v>1221.9185265705303</v>
      </c>
      <c r="T38">
        <v>1155.9000970834381</v>
      </c>
      <c r="U38">
        <v>1095.3138672668597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v>2.5421490725839075</v>
      </c>
      <c r="C45">
        <v>2.4662011124832603</v>
      </c>
      <c r="D45">
        <v>2.4092405349782684</v>
      </c>
      <c r="E45">
        <v>2.366085517716999</v>
      </c>
      <c r="F45">
        <v>2.3334003537069528</v>
      </c>
      <c r="G45">
        <v>2.3089085696013467</v>
      </c>
      <c r="H45">
        <v>2.2910117663521703</v>
      </c>
      <c r="I45">
        <v>2.2785448872039327</v>
      </c>
      <c r="J45">
        <v>2.2706384659751677</v>
      </c>
      <c r="K45" t="s">
        <v>105</v>
      </c>
      <c r="L45">
        <v>0</v>
      </c>
      <c r="M45">
        <v>1.3908287019226862</v>
      </c>
      <c r="N45">
        <v>1.2550881293147609</v>
      </c>
      <c r="O45">
        <v>1.1426231110236682</v>
      </c>
      <c r="P45">
        <v>1.0474515473231512</v>
      </c>
      <c r="Q45">
        <v>0.96559247193211717</v>
      </c>
      <c r="R45">
        <v>0.89426504347451818</v>
      </c>
      <c r="S45">
        <v>0.83144580384973055</v>
      </c>
      <c r="T45">
        <v>0.77562179770488937</v>
      </c>
      <c r="U45">
        <v>0.72563070275684571</v>
      </c>
      <c r="V45" t="s">
        <v>105</v>
      </c>
    </row>
    <row r="46" spans="1:22" x14ac:dyDescent="0.25">
      <c r="A46">
        <v>0.1</v>
      </c>
      <c r="B46">
        <v>2.5421490987835567</v>
      </c>
      <c r="C46">
        <v>2.47088479975345</v>
      </c>
      <c r="D46">
        <v>2.4174018235126726</v>
      </c>
      <c r="E46">
        <v>2.3769232169802907</v>
      </c>
      <c r="F46">
        <v>2.3463457229922851</v>
      </c>
      <c r="G46">
        <v>2.3235473344396063</v>
      </c>
      <c r="H46">
        <v>2.3070297015285548</v>
      </c>
      <c r="I46">
        <v>2.2956965644454357</v>
      </c>
      <c r="J46">
        <v>2.2887259068668517</v>
      </c>
      <c r="K46" t="s">
        <v>105</v>
      </c>
      <c r="L46">
        <v>0.1</v>
      </c>
      <c r="M46">
        <v>1.3908286500325093</v>
      </c>
      <c r="N46">
        <v>1.2584786723122907</v>
      </c>
      <c r="O46">
        <v>1.1482477339128161</v>
      </c>
      <c r="P46">
        <v>1.0545634276064695</v>
      </c>
      <c r="Q46">
        <v>0.9736919836471436</v>
      </c>
      <c r="R46">
        <v>0.90300467779016558</v>
      </c>
      <c r="S46">
        <v>0.84058086405695609</v>
      </c>
      <c r="T46">
        <v>0.78497652176566168</v>
      </c>
      <c r="U46">
        <v>0.73507781416838969</v>
      </c>
      <c r="V46" t="s">
        <v>105</v>
      </c>
    </row>
    <row r="47" spans="1:22" x14ac:dyDescent="0.25">
      <c r="A47">
        <v>0.2</v>
      </c>
      <c r="B47">
        <v>2.5421489642474153</v>
      </c>
      <c r="C47">
        <v>2.4755915545167677</v>
      </c>
      <c r="D47">
        <v>2.4256361604507464</v>
      </c>
      <c r="E47">
        <v>2.3878884698868545</v>
      </c>
      <c r="F47">
        <v>2.3594735121400792</v>
      </c>
      <c r="G47">
        <v>2.3384212222268892</v>
      </c>
      <c r="H47">
        <v>2.3233304250498499</v>
      </c>
      <c r="I47">
        <v>2.3131737382417916</v>
      </c>
      <c r="J47">
        <v>2.3071764387497415</v>
      </c>
      <c r="K47" t="s">
        <v>105</v>
      </c>
      <c r="L47">
        <v>0.2</v>
      </c>
      <c r="M47">
        <v>1.3908284118401284</v>
      </c>
      <c r="N47">
        <v>1.2618893647443505</v>
      </c>
      <c r="O47">
        <v>1.1539339475445527</v>
      </c>
      <c r="P47">
        <v>1.0617844700330485</v>
      </c>
      <c r="Q47">
        <v>0.98194498339415981</v>
      </c>
      <c r="R47">
        <v>0.91193762518608246</v>
      </c>
      <c r="S47">
        <v>0.84994360238025146</v>
      </c>
      <c r="T47">
        <v>0.79458762882202594</v>
      </c>
      <c r="U47">
        <v>0.74480491292245077</v>
      </c>
      <c r="V47" t="s">
        <v>105</v>
      </c>
    </row>
    <row r="48" spans="1:22" x14ac:dyDescent="0.25">
      <c r="A48">
        <v>0.3</v>
      </c>
      <c r="B48">
        <v>2.5421462113057696</v>
      </c>
      <c r="C48">
        <v>2.4803218503059514</v>
      </c>
      <c r="D48">
        <v>2.4339432946494686</v>
      </c>
      <c r="E48">
        <v>2.3989829012285409</v>
      </c>
      <c r="F48">
        <v>2.3727893350266496</v>
      </c>
      <c r="G48">
        <v>2.3535380428801647</v>
      </c>
      <c r="H48">
        <v>2.3399250203256008</v>
      </c>
      <c r="I48">
        <v>2.330989808891335</v>
      </c>
      <c r="J48">
        <v>2.326005992096178</v>
      </c>
      <c r="K48" t="s">
        <v>105</v>
      </c>
      <c r="L48">
        <v>0.3</v>
      </c>
      <c r="M48">
        <v>1.390829010375219</v>
      </c>
      <c r="N48">
        <v>1.2653207490115279</v>
      </c>
      <c r="O48">
        <v>1.1596833801409112</v>
      </c>
      <c r="P48">
        <v>1.0691173256230144</v>
      </c>
      <c r="Q48">
        <v>0.99035564722448799</v>
      </c>
      <c r="R48">
        <v>0.92107066864040998</v>
      </c>
      <c r="S48">
        <v>0.8595426317244349</v>
      </c>
      <c r="T48">
        <v>0.80446616827303041</v>
      </c>
      <c r="U48">
        <v>0.75482514338873541</v>
      </c>
      <c r="V48" t="s">
        <v>105</v>
      </c>
    </row>
    <row r="49" spans="1:22" x14ac:dyDescent="0.25">
      <c r="A49">
        <v>0.4</v>
      </c>
      <c r="B49">
        <v>2.542147555677813</v>
      </c>
      <c r="C49">
        <v>2.4850754960193808</v>
      </c>
      <c r="D49">
        <v>2.4423242978219557</v>
      </c>
      <c r="E49">
        <v>2.4102097805454283</v>
      </c>
      <c r="F49">
        <v>2.3862983363377261</v>
      </c>
      <c r="G49">
        <v>2.3689060051884776</v>
      </c>
      <c r="H49">
        <v>2.3568217465759678</v>
      </c>
      <c r="I49">
        <v>2.3491587810349839</v>
      </c>
      <c r="J49">
        <v>2.3452316311199985</v>
      </c>
      <c r="K49" t="s">
        <v>105</v>
      </c>
      <c r="L49">
        <v>0.4</v>
      </c>
      <c r="M49">
        <v>1.3908278625615449</v>
      </c>
      <c r="N49">
        <v>1.2687729928759013</v>
      </c>
      <c r="O49">
        <v>1.1654975574794266</v>
      </c>
      <c r="P49">
        <v>1.0765643151080151</v>
      </c>
      <c r="Q49">
        <v>0.99892930212328901</v>
      </c>
      <c r="R49">
        <v>0.93041086210698798</v>
      </c>
      <c r="S49">
        <v>0.86938812115146702</v>
      </c>
      <c r="T49">
        <v>0.81462396732470965</v>
      </c>
      <c r="U49">
        <v>0.76515243340207062</v>
      </c>
      <c r="V49" t="s">
        <v>105</v>
      </c>
    </row>
    <row r="50" spans="1:22" x14ac:dyDescent="0.25">
      <c r="A50">
        <v>0.5</v>
      </c>
      <c r="B50">
        <v>2.5421469563989878</v>
      </c>
      <c r="C50">
        <v>2.4898530479638468</v>
      </c>
      <c r="D50">
        <v>2.4507794765279756</v>
      </c>
      <c r="E50">
        <v>2.4215723407840448</v>
      </c>
      <c r="F50">
        <v>2.4000062855385895</v>
      </c>
      <c r="G50">
        <v>2.3845335714840661</v>
      </c>
      <c r="H50">
        <v>2.3740380772268086</v>
      </c>
      <c r="I50">
        <v>2.3676957930943461</v>
      </c>
      <c r="J50">
        <v>2.3648720635356923</v>
      </c>
      <c r="K50" t="s">
        <v>105</v>
      </c>
      <c r="L50">
        <v>0.5</v>
      </c>
      <c r="M50">
        <v>1.390827933288856</v>
      </c>
      <c r="N50">
        <v>1.2722464809380176</v>
      </c>
      <c r="O50">
        <v>1.1713776685233162</v>
      </c>
      <c r="P50">
        <v>1.0841283181294639</v>
      </c>
      <c r="Q50">
        <v>1.0076707294524505</v>
      </c>
      <c r="R50">
        <v>0.93996563953760237</v>
      </c>
      <c r="S50">
        <v>0.87948940953035282</v>
      </c>
      <c r="T50">
        <v>0.82507344642670999</v>
      </c>
      <c r="U50">
        <v>0.77580160490230909</v>
      </c>
      <c r="V50" t="s">
        <v>105</v>
      </c>
    </row>
    <row r="51" spans="1:22" x14ac:dyDescent="0.25">
      <c r="A51">
        <v>0.6</v>
      </c>
      <c r="B51">
        <v>2.5421469803717653</v>
      </c>
      <c r="C51">
        <v>2.4946544280114025</v>
      </c>
      <c r="D51">
        <v>2.4593102952862091</v>
      </c>
      <c r="E51">
        <v>2.43307391035037</v>
      </c>
      <c r="F51">
        <v>2.4139191058684721</v>
      </c>
      <c r="G51">
        <v>2.4004297549880542</v>
      </c>
      <c r="H51">
        <v>2.3915824541635975</v>
      </c>
      <c r="I51">
        <v>2.3866168488157249</v>
      </c>
      <c r="J51">
        <v>2.3849465705553263</v>
      </c>
      <c r="K51" t="s">
        <v>105</v>
      </c>
      <c r="L51">
        <v>0.6</v>
      </c>
      <c r="M51">
        <v>1.3908293923399973</v>
      </c>
      <c r="N51">
        <v>1.2757415064772659</v>
      </c>
      <c r="O51">
        <v>1.177324640550971</v>
      </c>
      <c r="P51">
        <v>1.0918122268005839</v>
      </c>
      <c r="Q51">
        <v>1.0165850748682588</v>
      </c>
      <c r="R51">
        <v>0.94974265882953002</v>
      </c>
      <c r="S51">
        <v>0.8898569498929626</v>
      </c>
      <c r="T51">
        <v>0.83582751833938762</v>
      </c>
      <c r="U51">
        <v>0.78678849451567689</v>
      </c>
      <c r="V51" t="s">
        <v>105</v>
      </c>
    </row>
    <row r="52" spans="1:22" x14ac:dyDescent="0.25">
      <c r="A52">
        <v>0.7</v>
      </c>
      <c r="B52">
        <v>2.5421460289996363</v>
      </c>
      <c r="C52">
        <v>2.499479731518397</v>
      </c>
      <c r="D52">
        <v>2.4679181486033963</v>
      </c>
      <c r="E52">
        <v>2.4447179032772093</v>
      </c>
      <c r="F52">
        <v>2.4280428827397218</v>
      </c>
      <c r="G52">
        <v>2.4166047178039225</v>
      </c>
      <c r="H52">
        <v>2.4094685527239625</v>
      </c>
      <c r="I52">
        <v>2.4059384414787917</v>
      </c>
      <c r="J52">
        <v>2.4054759299625772</v>
      </c>
      <c r="L52">
        <v>0.7</v>
      </c>
      <c r="M52">
        <v>1.3908285168836965</v>
      </c>
      <c r="N52">
        <v>1.2792579204022672</v>
      </c>
      <c r="O52">
        <v>1.18333958903729</v>
      </c>
      <c r="P52">
        <v>1.0996190822575354</v>
      </c>
      <c r="Q52">
        <v>1.0256778494442846</v>
      </c>
      <c r="R52">
        <v>0.95974950776954249</v>
      </c>
      <c r="S52">
        <v>0.90050199942881459</v>
      </c>
      <c r="T52">
        <v>0.84690059447965571</v>
      </c>
      <c r="U52">
        <v>0.798130052063585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87D80-8B27-41B7-9140-1A71C57957A9}">
  <dimension ref="A2:AG52"/>
  <sheetViews>
    <sheetView topLeftCell="A26" workbookViewId="0">
      <selection activeCell="M45" sqref="M45:V52"/>
    </sheetView>
  </sheetViews>
  <sheetFormatPr defaultColWidth="9.140625"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v>404.77086158421673</v>
      </c>
      <c r="C3">
        <v>394.55957961249504</v>
      </c>
      <c r="D3">
        <v>385.35178478850332</v>
      </c>
      <c r="E3">
        <v>376.98106431807065</v>
      </c>
      <c r="F3">
        <v>369.32484114751196</v>
      </c>
      <c r="G3">
        <v>362.28955339555756</v>
      </c>
      <c r="H3">
        <v>355.8017753558276</v>
      </c>
      <c r="I3">
        <v>349.80258676876417</v>
      </c>
      <c r="J3">
        <v>344.24383780368322</v>
      </c>
      <c r="K3" t="s">
        <v>105</v>
      </c>
      <c r="L3">
        <v>0</v>
      </c>
      <c r="M3">
        <v>288.79737525918449</v>
      </c>
      <c r="N3">
        <v>288.69246490785906</v>
      </c>
      <c r="O3">
        <v>288.45371266346643</v>
      </c>
      <c r="P3">
        <v>288.15555575872111</v>
      </c>
      <c r="Q3">
        <v>287.84050459181907</v>
      </c>
      <c r="R3">
        <v>287.53353915666406</v>
      </c>
      <c r="S3">
        <v>287.24946643276149</v>
      </c>
      <c r="T3">
        <v>286.9969096328789</v>
      </c>
      <c r="U3">
        <v>286.7806552466451</v>
      </c>
      <c r="V3" t="s">
        <v>105</v>
      </c>
      <c r="W3">
        <v>0</v>
      </c>
      <c r="X3">
        <v>115.97348632503221</v>
      </c>
      <c r="Y3">
        <v>105.86711470463598</v>
      </c>
      <c r="Z3">
        <v>96.898072125036876</v>
      </c>
      <c r="AA3">
        <v>88.825508559349544</v>
      </c>
      <c r="AB3">
        <v>81.484336555692892</v>
      </c>
      <c r="AC3">
        <v>74.756014238893485</v>
      </c>
      <c r="AD3">
        <v>68.552308923066107</v>
      </c>
      <c r="AE3">
        <v>62.80567713588524</v>
      </c>
      <c r="AF3">
        <v>57.463182557038117</v>
      </c>
      <c r="AG3" t="s">
        <v>105</v>
      </c>
    </row>
    <row r="4" spans="1:33" x14ac:dyDescent="0.25">
      <c r="A4">
        <v>0.1</v>
      </c>
      <c r="B4">
        <v>404.77086158418751</v>
      </c>
      <c r="C4">
        <v>394.91909549387032</v>
      </c>
      <c r="D4">
        <v>386.02499261737489</v>
      </c>
      <c r="E4">
        <v>377.93209621720825</v>
      </c>
      <c r="F4">
        <v>370.52478259932155</v>
      </c>
      <c r="G4">
        <v>363.71455257215098</v>
      </c>
      <c r="H4">
        <v>357.43178702198759</v>
      </c>
      <c r="I4">
        <v>351.62050196781405</v>
      </c>
      <c r="J4">
        <v>346.23486000821686</v>
      </c>
      <c r="K4" t="s">
        <v>105</v>
      </c>
      <c r="L4">
        <v>0.1</v>
      </c>
      <c r="M4">
        <v>288.79737525918142</v>
      </c>
      <c r="N4">
        <v>289.05616083973257</v>
      </c>
      <c r="O4">
        <v>289.14024796478566</v>
      </c>
      <c r="P4">
        <v>289.13091768423101</v>
      </c>
      <c r="Q4">
        <v>289.07600382178578</v>
      </c>
      <c r="R4">
        <v>289.00468635307777</v>
      </c>
      <c r="S4">
        <v>288.93509539787499</v>
      </c>
      <c r="T4">
        <v>288.87856536554034</v>
      </c>
      <c r="U4">
        <v>288.84208062261007</v>
      </c>
      <c r="V4" t="s">
        <v>105</v>
      </c>
      <c r="W4">
        <v>0.1</v>
      </c>
      <c r="X4">
        <v>115.97348632500614</v>
      </c>
      <c r="Y4">
        <v>105.86293465413775</v>
      </c>
      <c r="Z4">
        <v>96.884744652589234</v>
      </c>
      <c r="AA4">
        <v>88.801178532977204</v>
      </c>
      <c r="AB4">
        <v>81.448778777535779</v>
      </c>
      <c r="AC4">
        <v>74.709866219073263</v>
      </c>
      <c r="AD4">
        <v>68.496691624112628</v>
      </c>
      <c r="AE4">
        <v>62.74193660227369</v>
      </c>
      <c r="AF4">
        <v>57.392779385606822</v>
      </c>
      <c r="AG4" t="s">
        <v>105</v>
      </c>
    </row>
    <row r="5" spans="1:33" x14ac:dyDescent="0.25">
      <c r="A5">
        <v>0.2</v>
      </c>
      <c r="B5">
        <v>404.77086158413698</v>
      </c>
      <c r="C5">
        <v>395.2792378164587</v>
      </c>
      <c r="D5">
        <v>386.7003324469369</v>
      </c>
      <c r="E5">
        <v>378.88726971367464</v>
      </c>
      <c r="F5">
        <v>371.73115596784066</v>
      </c>
      <c r="G5">
        <v>365.14841616825242</v>
      </c>
      <c r="H5">
        <v>359.07314940970747</v>
      </c>
      <c r="I5">
        <v>353.45225060586284</v>
      </c>
      <c r="J5">
        <v>348.24215722962049</v>
      </c>
      <c r="K5" t="s">
        <v>105</v>
      </c>
      <c r="L5">
        <v>0.2</v>
      </c>
      <c r="M5">
        <v>288.79737525914288</v>
      </c>
      <c r="N5">
        <v>289.42105369755961</v>
      </c>
      <c r="O5">
        <v>289.83089929834301</v>
      </c>
      <c r="P5">
        <v>290.11433327637621</v>
      </c>
      <c r="Q5">
        <v>290.32409684436044</v>
      </c>
      <c r="R5">
        <v>290.49326820179164</v>
      </c>
      <c r="S5">
        <v>290.64314831693315</v>
      </c>
      <c r="T5">
        <v>290.78764711141895</v>
      </c>
      <c r="U5">
        <v>290.93587116267577</v>
      </c>
      <c r="V5" t="s">
        <v>105</v>
      </c>
      <c r="W5">
        <v>0.2</v>
      </c>
      <c r="X5">
        <v>115.97348632499411</v>
      </c>
      <c r="Y5">
        <v>105.85818411889903</v>
      </c>
      <c r="Z5">
        <v>96.869433148593842</v>
      </c>
      <c r="AA5">
        <v>88.772936437298412</v>
      </c>
      <c r="AB5">
        <v>81.407059123480224</v>
      </c>
      <c r="AC5">
        <v>74.655147966460817</v>
      </c>
      <c r="AD5">
        <v>68.43000109277429</v>
      </c>
      <c r="AE5">
        <v>62.664603494443924</v>
      </c>
      <c r="AF5">
        <v>57.306286066944693</v>
      </c>
      <c r="AG5" t="s">
        <v>105</v>
      </c>
    </row>
    <row r="6" spans="1:33" x14ac:dyDescent="0.25">
      <c r="A6">
        <v>0.3</v>
      </c>
      <c r="B6">
        <v>404.77086158411782</v>
      </c>
      <c r="C6">
        <v>395.64000943813761</v>
      </c>
      <c r="D6">
        <v>387.3778221330868</v>
      </c>
      <c r="E6">
        <v>379.84663299606069</v>
      </c>
      <c r="F6">
        <v>372.94405432793508</v>
      </c>
      <c r="G6">
        <v>366.59129461904502</v>
      </c>
      <c r="H6">
        <v>360.72608044620625</v>
      </c>
      <c r="I6">
        <v>355.29812602472197</v>
      </c>
      <c r="J6">
        <v>350.26610420655845</v>
      </c>
      <c r="K6" t="s">
        <v>105</v>
      </c>
      <c r="L6">
        <v>0.3</v>
      </c>
      <c r="M6">
        <v>288.79737525912287</v>
      </c>
      <c r="N6">
        <v>289.78715195184441</v>
      </c>
      <c r="O6">
        <v>290.52571763879178</v>
      </c>
      <c r="P6">
        <v>291.10595136189431</v>
      </c>
      <c r="Q6">
        <v>291.58505926104738</v>
      </c>
      <c r="R6">
        <v>291.99974480784749</v>
      </c>
      <c r="S6">
        <v>292.37428879036554</v>
      </c>
      <c r="T6">
        <v>292.72505127416582</v>
      </c>
      <c r="U6">
        <v>293.06317671780738</v>
      </c>
      <c r="V6" t="s">
        <v>105</v>
      </c>
      <c r="W6">
        <v>0.3</v>
      </c>
      <c r="X6">
        <v>115.97348632499492</v>
      </c>
      <c r="Y6">
        <v>105.85285748629322</v>
      </c>
      <c r="Z6">
        <v>96.85210449429502</v>
      </c>
      <c r="AA6">
        <v>88.74068163416635</v>
      </c>
      <c r="AB6">
        <v>81.358995066887701</v>
      </c>
      <c r="AC6">
        <v>74.591549811197538</v>
      </c>
      <c r="AD6">
        <v>68.351791655840685</v>
      </c>
      <c r="AE6">
        <v>62.57307475055616</v>
      </c>
      <c r="AF6">
        <v>57.202927488751065</v>
      </c>
      <c r="AG6" t="s">
        <v>105</v>
      </c>
    </row>
    <row r="7" spans="1:33" x14ac:dyDescent="0.25">
      <c r="A7">
        <v>0.4</v>
      </c>
      <c r="B7">
        <v>404.77086158413772</v>
      </c>
      <c r="C7">
        <v>396.00141323801745</v>
      </c>
      <c r="D7">
        <v>388.05747977549868</v>
      </c>
      <c r="E7">
        <v>380.81023516944987</v>
      </c>
      <c r="F7">
        <v>374.16357296117303</v>
      </c>
      <c r="G7">
        <v>368.04334255182408</v>
      </c>
      <c r="H7">
        <v>362.39080494297014</v>
      </c>
      <c r="I7">
        <v>357.15843181925339</v>
      </c>
      <c r="J7">
        <v>352.30708992193661</v>
      </c>
      <c r="K7" t="s">
        <v>105</v>
      </c>
      <c r="L7">
        <v>0.4</v>
      </c>
      <c r="M7">
        <v>288.79737525909718</v>
      </c>
      <c r="N7">
        <v>290.15446324364063</v>
      </c>
      <c r="O7">
        <v>291.22475779309536</v>
      </c>
      <c r="P7">
        <v>292.10591825491701</v>
      </c>
      <c r="Q7">
        <v>292.8591778305219</v>
      </c>
      <c r="R7">
        <v>293.52458867153092</v>
      </c>
      <c r="S7">
        <v>294.12920840085064</v>
      </c>
      <c r="T7">
        <v>294.69171648281343</v>
      </c>
      <c r="U7">
        <v>295.22520430807117</v>
      </c>
      <c r="V7" t="s">
        <v>105</v>
      </c>
      <c r="W7">
        <v>0.4</v>
      </c>
      <c r="X7">
        <v>115.97348632504053</v>
      </c>
      <c r="Y7">
        <v>105.84694999437686</v>
      </c>
      <c r="Z7">
        <v>96.832721982403285</v>
      </c>
      <c r="AA7">
        <v>88.704316914532896</v>
      </c>
      <c r="AB7">
        <v>81.304395130651102</v>
      </c>
      <c r="AC7">
        <v>74.518753880293119</v>
      </c>
      <c r="AD7">
        <v>68.26159654211952</v>
      </c>
      <c r="AE7">
        <v>62.466715336439997</v>
      </c>
      <c r="AF7">
        <v>57.081885613865396</v>
      </c>
      <c r="AG7" t="s">
        <v>105</v>
      </c>
    </row>
    <row r="8" spans="1:33" x14ac:dyDescent="0.25">
      <c r="A8">
        <v>0.5</v>
      </c>
      <c r="B8">
        <v>404.77086158418081</v>
      </c>
      <c r="C8">
        <v>396.36345211658784</v>
      </c>
      <c r="D8">
        <v>388.73932372228029</v>
      </c>
      <c r="E8">
        <v>381.77812627956627</v>
      </c>
      <c r="F8">
        <v>375.38980942858092</v>
      </c>
      <c r="G8">
        <v>369.50471894858867</v>
      </c>
      <c r="H8">
        <v>364.06755489860154</v>
      </c>
      <c r="I8">
        <v>359.0334823365697</v>
      </c>
      <c r="J8">
        <v>354.36551835727408</v>
      </c>
      <c r="K8" t="s">
        <v>105</v>
      </c>
      <c r="L8">
        <v>0.5</v>
      </c>
      <c r="M8">
        <v>288.79737525913924</v>
      </c>
      <c r="N8">
        <v>290.52299665005512</v>
      </c>
      <c r="O8">
        <v>291.92807474533271</v>
      </c>
      <c r="P8">
        <v>293.11438610571804</v>
      </c>
      <c r="Q8">
        <v>294.14675490683396</v>
      </c>
      <c r="R8">
        <v>295.06829036500164</v>
      </c>
      <c r="S8">
        <v>295.90862805113352</v>
      </c>
      <c r="T8">
        <v>296.68862585275622</v>
      </c>
      <c r="U8">
        <v>297.42322421617075</v>
      </c>
      <c r="V8" t="s">
        <v>105</v>
      </c>
      <c r="W8">
        <v>0.5</v>
      </c>
      <c r="X8">
        <v>115.97348632504158</v>
      </c>
      <c r="Y8">
        <v>105.84045546653273</v>
      </c>
      <c r="Z8">
        <v>96.811248976947596</v>
      </c>
      <c r="AA8">
        <v>88.663740173848254</v>
      </c>
      <c r="AB8">
        <v>81.243054521746984</v>
      </c>
      <c r="AC8">
        <v>74.436428583587031</v>
      </c>
      <c r="AD8">
        <v>68.158926847467981</v>
      </c>
      <c r="AE8">
        <v>62.344856483813452</v>
      </c>
      <c r="AF8">
        <v>56.942294141103353</v>
      </c>
      <c r="AG8" t="s">
        <v>105</v>
      </c>
    </row>
    <row r="9" spans="1:33" x14ac:dyDescent="0.25">
      <c r="A9">
        <v>0.6</v>
      </c>
      <c r="B9">
        <v>404.77086158419388</v>
      </c>
      <c r="C9">
        <v>396.72612899600216</v>
      </c>
      <c r="D9">
        <v>389.42337257473355</v>
      </c>
      <c r="E9">
        <v>382.75035733786882</v>
      </c>
      <c r="F9">
        <v>376.62286364656768</v>
      </c>
      <c r="G9">
        <v>370.97558731680084</v>
      </c>
      <c r="H9">
        <v>365.75656981887374</v>
      </c>
      <c r="I9">
        <v>360.9236032066849</v>
      </c>
      <c r="J9">
        <v>356.44180929881577</v>
      </c>
      <c r="K9" t="s">
        <v>105</v>
      </c>
      <c r="L9">
        <v>0.6</v>
      </c>
      <c r="M9">
        <v>288.7973752591534</v>
      </c>
      <c r="N9">
        <v>290.89276076757494</v>
      </c>
      <c r="O9">
        <v>292.63572387412682</v>
      </c>
      <c r="P9">
        <v>294.13150947398191</v>
      </c>
      <c r="Q9">
        <v>295.44809740202101</v>
      </c>
      <c r="R9">
        <v>296.63135949335543</v>
      </c>
      <c r="S9">
        <v>297.71329994937423</v>
      </c>
      <c r="T9">
        <v>298.71680991895693</v>
      </c>
      <c r="U9">
        <v>299.65857328353644</v>
      </c>
      <c r="V9" t="s">
        <v>105</v>
      </c>
      <c r="W9">
        <v>0.6</v>
      </c>
      <c r="X9">
        <v>115.97348632504053</v>
      </c>
      <c r="Y9">
        <v>105.8333682284272</v>
      </c>
      <c r="Z9">
        <v>96.787648700606695</v>
      </c>
      <c r="AA9">
        <v>88.618847863886899</v>
      </c>
      <c r="AB9">
        <v>81.174766244546674</v>
      </c>
      <c r="AC9">
        <v>74.344227823445422</v>
      </c>
      <c r="AD9">
        <v>68.043269869499525</v>
      </c>
      <c r="AE9">
        <v>62.206793287727962</v>
      </c>
      <c r="AF9">
        <v>56.783236015279364</v>
      </c>
      <c r="AG9" t="s">
        <v>105</v>
      </c>
    </row>
    <row r="10" spans="1:33" x14ac:dyDescent="0.25">
      <c r="A10">
        <v>0.7</v>
      </c>
      <c r="B10">
        <v>404.77086158418831</v>
      </c>
      <c r="C10">
        <v>397.08944682025276</v>
      </c>
      <c r="D10">
        <v>390.1096451921598</v>
      </c>
      <c r="E10">
        <v>383.72698034743848</v>
      </c>
      <c r="F10">
        <v>377.86283796604528</v>
      </c>
      <c r="G10">
        <v>372.45611586878357</v>
      </c>
      <c r="H10">
        <v>367.45809705522186</v>
      </c>
      <c r="I10">
        <v>362.82913190705449</v>
      </c>
      <c r="J10">
        <v>358.53639919978917</v>
      </c>
      <c r="L10">
        <v>0.7</v>
      </c>
      <c r="M10">
        <v>288.79737525914771</v>
      </c>
      <c r="N10">
        <v>291.26376454959382</v>
      </c>
      <c r="O10">
        <v>293.34776198903336</v>
      </c>
      <c r="P10">
        <v>295.15744583270924</v>
      </c>
      <c r="Q10">
        <v>296.76352396400654</v>
      </c>
      <c r="R10">
        <v>298.21432420096545</v>
      </c>
      <c r="S10">
        <v>299.5440100147369</v>
      </c>
      <c r="T10">
        <v>300.77734873126246</v>
      </c>
      <c r="U10">
        <v>301.93265947226325</v>
      </c>
      <c r="W10">
        <v>0.7</v>
      </c>
      <c r="X10">
        <v>115.97348632504058</v>
      </c>
      <c r="Y10">
        <v>105.82568227065892</v>
      </c>
      <c r="Z10">
        <v>96.76188320312643</v>
      </c>
      <c r="AA10">
        <v>88.56953451472927</v>
      </c>
      <c r="AB10">
        <v>81.099314002038724</v>
      </c>
      <c r="AC10">
        <v>74.241791667818106</v>
      </c>
      <c r="AD10">
        <v>67.914087040484972</v>
      </c>
      <c r="AE10">
        <v>62.051783175792067</v>
      </c>
      <c r="AF10">
        <v>56.603739727525912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v>1011.2083876970686</v>
      </c>
      <c r="C17">
        <v>1011.1743335233459</v>
      </c>
      <c r="D17">
        <v>1010.788501612158</v>
      </c>
      <c r="E17">
        <v>1010.2409878459455</v>
      </c>
      <c r="F17">
        <v>1009.6375442759262</v>
      </c>
      <c r="G17">
        <v>1009.0388128762437</v>
      </c>
      <c r="H17">
        <v>1008.4799380648212</v>
      </c>
      <c r="I17">
        <v>1007.9809905601087</v>
      </c>
      <c r="J17">
        <v>1007.5529341692169</v>
      </c>
      <c r="K17" t="s">
        <v>105</v>
      </c>
      <c r="L17">
        <v>0</v>
      </c>
      <c r="M17">
        <v>509.44395107886083</v>
      </c>
      <c r="N17">
        <v>474.5663826055</v>
      </c>
      <c r="O17">
        <v>443.55884956948813</v>
      </c>
      <c r="P17">
        <v>415.51978569270159</v>
      </c>
      <c r="Q17">
        <v>389.84051813175887</v>
      </c>
      <c r="R17">
        <v>366.08995461976457</v>
      </c>
      <c r="S17">
        <v>343.95037600303965</v>
      </c>
      <c r="T17">
        <v>323.18091786313954</v>
      </c>
      <c r="U17">
        <v>303.59416104767087</v>
      </c>
      <c r="V17" t="s">
        <v>105</v>
      </c>
    </row>
    <row r="18" spans="1:22" x14ac:dyDescent="0.25">
      <c r="A18">
        <v>0.1</v>
      </c>
      <c r="B18">
        <v>1011.2083860279321</v>
      </c>
      <c r="C18">
        <v>1012.4633396688779</v>
      </c>
      <c r="D18">
        <v>1013.2029590698486</v>
      </c>
      <c r="E18">
        <v>1013.6497494911489</v>
      </c>
      <c r="F18">
        <v>1013.9331465986133</v>
      </c>
      <c r="G18">
        <v>1014.131595560901</v>
      </c>
      <c r="H18">
        <v>1014.2938621234611</v>
      </c>
      <c r="I18">
        <v>1014.4507311925047</v>
      </c>
      <c r="J18">
        <v>1014.6216546777846</v>
      </c>
      <c r="K18" t="s">
        <v>105</v>
      </c>
      <c r="L18">
        <v>0.1</v>
      </c>
      <c r="M18">
        <v>509.44391194879444</v>
      </c>
      <c r="N18">
        <v>474.29264498173728</v>
      </c>
      <c r="O18">
        <v>443.00573849601727</v>
      </c>
      <c r="P18">
        <v>414.69292827225769</v>
      </c>
      <c r="Q18">
        <v>388.75109451853484</v>
      </c>
      <c r="R18">
        <v>364.75119888403282</v>
      </c>
      <c r="S18">
        <v>342.37671155842986</v>
      </c>
      <c r="T18">
        <v>321.38690575732443</v>
      </c>
      <c r="U18">
        <v>301.59415203857247</v>
      </c>
      <c r="V18" t="s">
        <v>105</v>
      </c>
    </row>
    <row r="19" spans="1:22" x14ac:dyDescent="0.25">
      <c r="A19">
        <v>0.2</v>
      </c>
      <c r="B19">
        <v>1011.2083829370987</v>
      </c>
      <c r="C19">
        <v>1013.7571369677437</v>
      </c>
      <c r="D19">
        <v>1015.6337181535587</v>
      </c>
      <c r="E19">
        <v>1017.0901378197117</v>
      </c>
      <c r="F19">
        <v>1018.2778182060565</v>
      </c>
      <c r="G19">
        <v>1019.2918857366295</v>
      </c>
      <c r="H19">
        <v>1020.1941006226049</v>
      </c>
      <c r="I19">
        <v>1021.0254919592287</v>
      </c>
      <c r="J19">
        <v>1021.8137248103566</v>
      </c>
      <c r="K19" t="s">
        <v>105</v>
      </c>
      <c r="L19">
        <v>0.2</v>
      </c>
      <c r="M19">
        <v>509.44389871219897</v>
      </c>
      <c r="N19">
        <v>474.01671038710867</v>
      </c>
      <c r="O19">
        <v>442.44487543319843</v>
      </c>
      <c r="P19">
        <v>413.85076433753437</v>
      </c>
      <c r="Q19">
        <v>387.63725035509549</v>
      </c>
      <c r="R19">
        <v>363.378317649525</v>
      </c>
      <c r="S19">
        <v>340.75877649665773</v>
      </c>
      <c r="T19">
        <v>319.53834858289889</v>
      </c>
      <c r="U19">
        <v>299.52937362489979</v>
      </c>
      <c r="V19" t="s">
        <v>105</v>
      </c>
    </row>
    <row r="20" spans="1:22" x14ac:dyDescent="0.25">
      <c r="A20">
        <v>0.3</v>
      </c>
      <c r="B20">
        <v>1011.2083820113604</v>
      </c>
      <c r="C20">
        <v>1015.0557605354841</v>
      </c>
      <c r="D20">
        <v>1018.0809924032025</v>
      </c>
      <c r="E20">
        <v>1020.5627482817345</v>
      </c>
      <c r="F20">
        <v>1022.672680934607</v>
      </c>
      <c r="G20">
        <v>1024.5215153174609</v>
      </c>
      <c r="H20">
        <v>1026.1832912311816</v>
      </c>
      <c r="I20">
        <v>1027.708817696787</v>
      </c>
      <c r="J20">
        <v>1029.1336674460704</v>
      </c>
      <c r="K20" t="s">
        <v>105</v>
      </c>
      <c r="L20">
        <v>0.3</v>
      </c>
      <c r="M20">
        <v>509.44389950095109</v>
      </c>
      <c r="N20">
        <v>473.73854375302557</v>
      </c>
      <c r="O20">
        <v>441.87615959577045</v>
      </c>
      <c r="P20">
        <v>412.99282044901759</v>
      </c>
      <c r="Q20">
        <v>386.49830387261636</v>
      </c>
      <c r="R20">
        <v>361.97018647139112</v>
      </c>
      <c r="S20">
        <v>339.0949394491829</v>
      </c>
      <c r="T20">
        <v>317.63302386496213</v>
      </c>
      <c r="U20">
        <v>297.39697801380851</v>
      </c>
      <c r="V20" t="s">
        <v>105</v>
      </c>
    </row>
    <row r="21" spans="1:22" x14ac:dyDescent="0.25">
      <c r="A21">
        <v>0.4</v>
      </c>
      <c r="B21">
        <v>1011.208381024251</v>
      </c>
      <c r="C21">
        <v>1016.3592440705204</v>
      </c>
      <c r="D21">
        <v>1020.5450049915053</v>
      </c>
      <c r="E21">
        <v>1024.0681783634648</v>
      </c>
      <c r="F21">
        <v>1027.1188956851815</v>
      </c>
      <c r="G21">
        <v>1029.8223778658976</v>
      </c>
      <c r="H21">
        <v>1032.2641875620279</v>
      </c>
      <c r="I21">
        <v>1034.5044261359371</v>
      </c>
      <c r="J21">
        <v>1036.5862421089344</v>
      </c>
      <c r="K21" t="s">
        <v>105</v>
      </c>
      <c r="L21">
        <v>0.4</v>
      </c>
      <c r="M21">
        <v>509.44397349412969</v>
      </c>
      <c r="N21">
        <v>473.45814838074796</v>
      </c>
      <c r="O21">
        <v>441.29944773382164</v>
      </c>
      <c r="P21">
        <v>412.11878328339293</v>
      </c>
      <c r="Q21">
        <v>385.33360393315905</v>
      </c>
      <c r="R21">
        <v>360.52563914232587</v>
      </c>
      <c r="S21">
        <v>337.38348068183535</v>
      </c>
      <c r="T21">
        <v>315.66859047033927</v>
      </c>
      <c r="U21">
        <v>295.19393882668226</v>
      </c>
      <c r="V21" t="s">
        <v>105</v>
      </c>
    </row>
    <row r="22" spans="1:22" x14ac:dyDescent="0.25">
      <c r="A22">
        <v>0.5</v>
      </c>
      <c r="B22">
        <v>1011.208382749459</v>
      </c>
      <c r="C22">
        <v>1017.6676241208007</v>
      </c>
      <c r="D22">
        <v>1023.0259826258713</v>
      </c>
      <c r="E22">
        <v>1027.6070478355359</v>
      </c>
      <c r="F22">
        <v>1031.6176768541245</v>
      </c>
      <c r="G22">
        <v>1035.1964410183984</v>
      </c>
      <c r="H22">
        <v>1038.439664708932</v>
      </c>
      <c r="I22">
        <v>1041.4162165220325</v>
      </c>
      <c r="J22">
        <v>1044.176464581172</v>
      </c>
      <c r="K22" t="s">
        <v>105</v>
      </c>
      <c r="L22">
        <v>0.5</v>
      </c>
      <c r="M22">
        <v>509.44402511043364</v>
      </c>
      <c r="N22">
        <v>473.1754855588311</v>
      </c>
      <c r="O22">
        <v>440.71458540347959</v>
      </c>
      <c r="P22">
        <v>411.22824347178084</v>
      </c>
      <c r="Q22">
        <v>384.14238236876122</v>
      </c>
      <c r="R22">
        <v>359.0434692298453</v>
      </c>
      <c r="S22">
        <v>335.62260742967288</v>
      </c>
      <c r="T22">
        <v>313.64260378725476</v>
      </c>
      <c r="U22">
        <v>292.91706661132156</v>
      </c>
      <c r="V22" t="s">
        <v>105</v>
      </c>
    </row>
    <row r="23" spans="1:22" x14ac:dyDescent="0.25">
      <c r="A23">
        <v>0.6</v>
      </c>
      <c r="B23">
        <v>1011.2083835269608</v>
      </c>
      <c r="C23">
        <v>1018.9809362982596</v>
      </c>
      <c r="D23">
        <v>1025.5241532448747</v>
      </c>
      <c r="E23">
        <v>1031.1799894127209</v>
      </c>
      <c r="F23">
        <v>1036.1702673043803</v>
      </c>
      <c r="G23">
        <v>1040.645751470704</v>
      </c>
      <c r="H23">
        <v>1044.7127269980385</v>
      </c>
      <c r="I23">
        <v>1048.4482848157727</v>
      </c>
      <c r="J23">
        <v>1051.9096237743004</v>
      </c>
      <c r="K23" t="s">
        <v>105</v>
      </c>
      <c r="L23">
        <v>0.6</v>
      </c>
      <c r="M23">
        <v>509.4440297933719</v>
      </c>
      <c r="N23">
        <v>472.89054516614232</v>
      </c>
      <c r="O23">
        <v>440.1214728898691</v>
      </c>
      <c r="P23">
        <v>410.32082068894346</v>
      </c>
      <c r="Q23">
        <v>382.92390063451938</v>
      </c>
      <c r="R23">
        <v>357.52240589119145</v>
      </c>
      <c r="S23">
        <v>333.81044034779978</v>
      </c>
      <c r="T23">
        <v>311.55245597347533</v>
      </c>
      <c r="U23">
        <v>290.56297751238498</v>
      </c>
      <c r="V23" t="s">
        <v>105</v>
      </c>
    </row>
    <row r="24" spans="1:22" x14ac:dyDescent="0.25">
      <c r="A24">
        <v>0.7</v>
      </c>
      <c r="B24">
        <v>1011.2083831987425</v>
      </c>
      <c r="C24">
        <v>1020.2992182712439</v>
      </c>
      <c r="D24">
        <v>1028.0397508648146</v>
      </c>
      <c r="E24">
        <v>1034.7876483286066</v>
      </c>
      <c r="F24">
        <v>1040.7779564228099</v>
      </c>
      <c r="G24">
        <v>1046.1724342666153</v>
      </c>
      <c r="H24">
        <v>1051.0865182183686</v>
      </c>
      <c r="I24">
        <v>1055.6049303595053</v>
      </c>
      <c r="J24">
        <v>1059.7912998232223</v>
      </c>
      <c r="L24">
        <v>0.7</v>
      </c>
      <c r="M24">
        <v>509.44402936716773</v>
      </c>
      <c r="N24">
        <v>472.60327535958754</v>
      </c>
      <c r="O24">
        <v>439.51997030415919</v>
      </c>
      <c r="P24">
        <v>409.39616037343745</v>
      </c>
      <c r="Q24">
        <v>381.67736611977182</v>
      </c>
      <c r="R24">
        <v>355.96114244315561</v>
      </c>
      <c r="S24">
        <v>331.94499248476632</v>
      </c>
      <c r="T24">
        <v>309.3954287487478</v>
      </c>
      <c r="U24">
        <v>288.1280945004774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v>3547.8213960824755</v>
      </c>
      <c r="C31">
        <v>3430.0866717606459</v>
      </c>
      <c r="D31">
        <v>3337.0119588654552</v>
      </c>
      <c r="E31">
        <v>3262.2801655073022</v>
      </c>
      <c r="F31">
        <v>3201.735498622003</v>
      </c>
      <c r="G31">
        <v>3152.5062205546774</v>
      </c>
      <c r="H31">
        <v>3112.5348790201551</v>
      </c>
      <c r="I31">
        <v>3080.301833591725</v>
      </c>
      <c r="J31">
        <v>3054.6633233972975</v>
      </c>
      <c r="K31" t="s">
        <v>105</v>
      </c>
      <c r="L31">
        <v>0</v>
      </c>
      <c r="M31">
        <v>1804.0910634808629</v>
      </c>
      <c r="N31">
        <v>1684.6236485765492</v>
      </c>
      <c r="O31">
        <v>1583.0454755750211</v>
      </c>
      <c r="P31">
        <v>1494.7358119298101</v>
      </c>
      <c r="Q31">
        <v>1416.656838604446</v>
      </c>
      <c r="R31">
        <v>1346.7005967961713</v>
      </c>
      <c r="S31">
        <v>1283.348326406312</v>
      </c>
      <c r="T31">
        <v>1225.4663836036079</v>
      </c>
      <c r="U31">
        <v>1172.1863194395521</v>
      </c>
      <c r="V31" t="s">
        <v>105</v>
      </c>
    </row>
    <row r="32" spans="1:22" x14ac:dyDescent="0.25">
      <c r="A32">
        <v>0.1</v>
      </c>
      <c r="B32">
        <v>3547.8223185903344</v>
      </c>
      <c r="C32">
        <v>3436.3175205687298</v>
      </c>
      <c r="D32">
        <v>3348.0871450876239</v>
      </c>
      <c r="E32">
        <v>3277.2422083500787</v>
      </c>
      <c r="F32">
        <v>3219.8904760787309</v>
      </c>
      <c r="G32">
        <v>3173.3351537136496</v>
      </c>
      <c r="H32">
        <v>3135.6346993172942</v>
      </c>
      <c r="I32">
        <v>3105.3552853756064</v>
      </c>
      <c r="J32">
        <v>3081.4127201857168</v>
      </c>
      <c r="K32" t="s">
        <v>105</v>
      </c>
      <c r="L32">
        <v>0.1</v>
      </c>
      <c r="M32">
        <v>1804.0915620384728</v>
      </c>
      <c r="N32">
        <v>1687.4443958345234</v>
      </c>
      <c r="O32">
        <v>1587.8646097935118</v>
      </c>
      <c r="P32">
        <v>1501.0054994384489</v>
      </c>
      <c r="Q32">
        <v>1423.9928287067926</v>
      </c>
      <c r="R32">
        <v>1354.8275847158388</v>
      </c>
      <c r="S32">
        <v>1292.0612108386454</v>
      </c>
      <c r="T32">
        <v>1234.60985070428</v>
      </c>
      <c r="U32">
        <v>1181.6413384970492</v>
      </c>
      <c r="V32" t="s">
        <v>105</v>
      </c>
    </row>
    <row r="33" spans="1:22" x14ac:dyDescent="0.25">
      <c r="A33">
        <v>0.2</v>
      </c>
      <c r="B33">
        <v>3547.8240268068503</v>
      </c>
      <c r="C33">
        <v>3442.5733863063283</v>
      </c>
      <c r="D33">
        <v>3359.2422282681696</v>
      </c>
      <c r="E33">
        <v>3292.3502664632283</v>
      </c>
      <c r="F33">
        <v>3238.263560537664</v>
      </c>
      <c r="G33">
        <v>3194.4509192042183</v>
      </c>
      <c r="H33">
        <v>3159.0891708010299</v>
      </c>
      <c r="I33">
        <v>3130.8265067274679</v>
      </c>
      <c r="J33">
        <v>3108.6382021433246</v>
      </c>
      <c r="K33" t="s">
        <v>105</v>
      </c>
      <c r="L33">
        <v>0.2</v>
      </c>
      <c r="M33">
        <v>1804.0917306863546</v>
      </c>
      <c r="N33">
        <v>1690.2785441015471</v>
      </c>
      <c r="O33">
        <v>1592.7260438566188</v>
      </c>
      <c r="P33">
        <v>1507.3507397816149</v>
      </c>
      <c r="Q33">
        <v>1431.4399641659707</v>
      </c>
      <c r="R33">
        <v>1363.0989912787434</v>
      </c>
      <c r="S33">
        <v>1300.9491826525127</v>
      </c>
      <c r="T33">
        <v>1243.9563980241207</v>
      </c>
      <c r="U33">
        <v>1191.3245858308551</v>
      </c>
      <c r="V33" t="s">
        <v>105</v>
      </c>
    </row>
    <row r="34" spans="1:22" x14ac:dyDescent="0.25">
      <c r="A34">
        <v>0.3</v>
      </c>
      <c r="B34">
        <v>3547.8245384251541</v>
      </c>
      <c r="C34">
        <v>3448.8544700830175</v>
      </c>
      <c r="D34">
        <v>3370.4776988219514</v>
      </c>
      <c r="E34">
        <v>3307.6079640732464</v>
      </c>
      <c r="F34">
        <v>3256.85873620339</v>
      </c>
      <c r="G34">
        <v>3215.8618058613893</v>
      </c>
      <c r="H34">
        <v>3182.9089955115264</v>
      </c>
      <c r="I34">
        <v>3156.7293203254158</v>
      </c>
      <c r="J34">
        <v>3136.3569973471722</v>
      </c>
      <c r="K34" t="s">
        <v>105</v>
      </c>
      <c r="L34">
        <v>0.3</v>
      </c>
      <c r="M34">
        <v>1804.0917206368586</v>
      </c>
      <c r="N34">
        <v>1693.1263624481999</v>
      </c>
      <c r="O34">
        <v>1597.630204026307</v>
      </c>
      <c r="P34">
        <v>1513.773914088081</v>
      </c>
      <c r="Q34">
        <v>1439.0011346594167</v>
      </c>
      <c r="R34">
        <v>1371.5187586910902</v>
      </c>
      <c r="S34">
        <v>1310.0177889415588</v>
      </c>
      <c r="T34">
        <v>1253.5132049357865</v>
      </c>
      <c r="U34">
        <v>1201.2447092565535</v>
      </c>
      <c r="V34" t="s">
        <v>105</v>
      </c>
    </row>
    <row r="35" spans="1:22" x14ac:dyDescent="0.25">
      <c r="A35">
        <v>0.4</v>
      </c>
      <c r="B35">
        <v>3547.8250839550774</v>
      </c>
      <c r="C35">
        <v>3455.1605628430434</v>
      </c>
      <c r="D35">
        <v>3381.7948817215383</v>
      </c>
      <c r="E35">
        <v>3323.0178323486143</v>
      </c>
      <c r="F35">
        <v>3275.6807239832597</v>
      </c>
      <c r="G35">
        <v>3237.5756979707476</v>
      </c>
      <c r="H35">
        <v>3207.105308983645</v>
      </c>
      <c r="I35">
        <v>3183.0782367374709</v>
      </c>
      <c r="J35">
        <v>3164.5870492194426</v>
      </c>
      <c r="K35" t="s">
        <v>105</v>
      </c>
      <c r="L35">
        <v>0.4</v>
      </c>
      <c r="M35">
        <v>1804.0907778869691</v>
      </c>
      <c r="N35">
        <v>1695.9877355183439</v>
      </c>
      <c r="O35">
        <v>1602.5777826158701</v>
      </c>
      <c r="P35">
        <v>1520.2761869313613</v>
      </c>
      <c r="Q35">
        <v>1446.6787379895695</v>
      </c>
      <c r="R35">
        <v>1380.0911428401416</v>
      </c>
      <c r="S35">
        <v>1319.2729074601746</v>
      </c>
      <c r="T35">
        <v>1263.2878111808373</v>
      </c>
      <c r="U35">
        <v>1211.4109739021128</v>
      </c>
      <c r="V35" t="s">
        <v>105</v>
      </c>
    </row>
    <row r="36" spans="1:22" x14ac:dyDescent="0.25">
      <c r="A36">
        <v>0.5</v>
      </c>
      <c r="B36">
        <v>3547.8241305079555</v>
      </c>
      <c r="C36">
        <v>3461.4920870111082</v>
      </c>
      <c r="D36">
        <v>3393.1947609145564</v>
      </c>
      <c r="E36">
        <v>3338.5826639064508</v>
      </c>
      <c r="F36">
        <v>3294.7353759981861</v>
      </c>
      <c r="G36">
        <v>3259.6008683369996</v>
      </c>
      <c r="H36">
        <v>3231.6897185352868</v>
      </c>
      <c r="I36">
        <v>3209.8885703033438</v>
      </c>
      <c r="J36">
        <v>3193.3474138659531</v>
      </c>
      <c r="K36" t="s">
        <v>105</v>
      </c>
      <c r="L36">
        <v>0.5</v>
      </c>
      <c r="M36">
        <v>1804.0901202410237</v>
      </c>
      <c r="N36">
        <v>1698.8629473697422</v>
      </c>
      <c r="O36">
        <v>1607.5696230367719</v>
      </c>
      <c r="P36">
        <v>1526.8594728151654</v>
      </c>
      <c r="Q36">
        <v>1454.4757590558163</v>
      </c>
      <c r="R36">
        <v>1388.8204807559389</v>
      </c>
      <c r="S36">
        <v>1328.7206227352217</v>
      </c>
      <c r="T36">
        <v>1273.2879782006717</v>
      </c>
      <c r="U36">
        <v>1221.8330344056737</v>
      </c>
      <c r="V36" t="s">
        <v>105</v>
      </c>
    </row>
    <row r="37" spans="1:22" x14ac:dyDescent="0.25">
      <c r="A37">
        <v>0.6</v>
      </c>
      <c r="B37">
        <v>3547.8237008107326</v>
      </c>
      <c r="C37">
        <v>3467.8492660669167</v>
      </c>
      <c r="D37">
        <v>3404.6784332236975</v>
      </c>
      <c r="E37">
        <v>3354.3050431827755</v>
      </c>
      <c r="F37">
        <v>3314.0279712138049</v>
      </c>
      <c r="G37">
        <v>3281.9459269984309</v>
      </c>
      <c r="H37">
        <v>3256.6743759976639</v>
      </c>
      <c r="I37">
        <v>3237.1762938494553</v>
      </c>
      <c r="J37">
        <v>3222.6581619527042</v>
      </c>
      <c r="K37" t="s">
        <v>105</v>
      </c>
      <c r="L37">
        <v>0.6</v>
      </c>
      <c r="M37">
        <v>1804.0900605754223</v>
      </c>
      <c r="N37">
        <v>1701.7519859516683</v>
      </c>
      <c r="O37">
        <v>1612.6060091810273</v>
      </c>
      <c r="P37">
        <v>1533.5254368647902</v>
      </c>
      <c r="Q37">
        <v>1462.3950187893358</v>
      </c>
      <c r="R37">
        <v>1397.7113732595906</v>
      </c>
      <c r="S37">
        <v>1338.3672875736868</v>
      </c>
      <c r="T37">
        <v>1283.5220861558864</v>
      </c>
      <c r="U37">
        <v>1232.5211284938632</v>
      </c>
      <c r="V37" t="s">
        <v>105</v>
      </c>
    </row>
    <row r="38" spans="1:22" x14ac:dyDescent="0.25">
      <c r="A38">
        <v>0.7</v>
      </c>
      <c r="B38">
        <v>3547.8238822055932</v>
      </c>
      <c r="C38">
        <v>3474.2321801234189</v>
      </c>
      <c r="D38">
        <v>3416.2470003646317</v>
      </c>
      <c r="E38">
        <v>3370.1876166297034</v>
      </c>
      <c r="F38">
        <v>3333.5641922089781</v>
      </c>
      <c r="G38">
        <v>3304.6197568218763</v>
      </c>
      <c r="H38">
        <v>3282.0719983604381</v>
      </c>
      <c r="I38">
        <v>3264.9582567796529</v>
      </c>
      <c r="J38">
        <v>3252.5405308669438</v>
      </c>
      <c r="L38">
        <v>0.7</v>
      </c>
      <c r="M38">
        <v>1804.0900660057068</v>
      </c>
      <c r="N38">
        <v>1704.6553075677505</v>
      </c>
      <c r="O38">
        <v>1617.6876032535069</v>
      </c>
      <c r="P38">
        <v>1540.2754751432769</v>
      </c>
      <c r="Q38">
        <v>1470.4395928088607</v>
      </c>
      <c r="R38">
        <v>1406.7684909708264</v>
      </c>
      <c r="S38">
        <v>1348.2196444234228</v>
      </c>
      <c r="T38">
        <v>1293.9987320529656</v>
      </c>
      <c r="U38">
        <v>1243.4860061671177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v>3.204501072880678</v>
      </c>
      <c r="C45">
        <v>3.0739223699387113</v>
      </c>
      <c r="D45">
        <v>2.9708302868940444</v>
      </c>
      <c r="E45">
        <v>2.8881447402951679</v>
      </c>
      <c r="F45">
        <v>2.821215895396413</v>
      </c>
      <c r="G45">
        <v>2.7668356249853212</v>
      </c>
      <c r="H45">
        <v>2.7227087586905268</v>
      </c>
      <c r="I45">
        <v>2.6871423706574116</v>
      </c>
      <c r="J45">
        <v>2.6588638686731239</v>
      </c>
      <c r="K45" t="s">
        <v>105</v>
      </c>
      <c r="L45">
        <v>0</v>
      </c>
      <c r="M45">
        <v>1.3908287756437823</v>
      </c>
      <c r="N45">
        <v>1.2862600939166564</v>
      </c>
      <c r="O45">
        <v>1.1982431047763202</v>
      </c>
      <c r="P45">
        <v>1.1224509978210084</v>
      </c>
      <c r="Q45">
        <v>1.0560482771488426</v>
      </c>
      <c r="R45">
        <v>0.99707319806972106</v>
      </c>
      <c r="S45">
        <v>0.94411630603631591</v>
      </c>
      <c r="T45">
        <v>0.89612832679182686</v>
      </c>
      <c r="U45">
        <v>0.85230754206677906</v>
      </c>
      <c r="V45" t="s">
        <v>105</v>
      </c>
    </row>
    <row r="46" spans="1:22" x14ac:dyDescent="0.25">
      <c r="A46">
        <v>0.1</v>
      </c>
      <c r="B46">
        <v>3.2045020967683144</v>
      </c>
      <c r="C46">
        <v>3.08007166230527</v>
      </c>
      <c r="D46">
        <v>2.9816911532653902</v>
      </c>
      <c r="E46">
        <v>2.9027339668594174</v>
      </c>
      <c r="F46">
        <v>2.8388275106555461</v>
      </c>
      <c r="G46">
        <v>2.7869466398585794</v>
      </c>
      <c r="H46">
        <v>2.7449164329600628</v>
      </c>
      <c r="I46">
        <v>2.7111327107785743</v>
      </c>
      <c r="J46">
        <v>2.6843839052201286</v>
      </c>
      <c r="K46" t="s">
        <v>105</v>
      </c>
      <c r="L46">
        <v>0.1</v>
      </c>
      <c r="M46">
        <v>1.3908292468069938</v>
      </c>
      <c r="N46">
        <v>1.2889194545005962</v>
      </c>
      <c r="O46">
        <v>1.202776627119627</v>
      </c>
      <c r="P46">
        <v>1.128337263863245</v>
      </c>
      <c r="Q46">
        <v>1.0629227113320991</v>
      </c>
      <c r="R46">
        <v>1.0046753414470935</v>
      </c>
      <c r="S46">
        <v>0.95225265639848922</v>
      </c>
      <c r="T46">
        <v>0.90465274966365095</v>
      </c>
      <c r="U46">
        <v>0.86110829104281772</v>
      </c>
      <c r="V46" t="s">
        <v>105</v>
      </c>
    </row>
    <row r="47" spans="1:22" x14ac:dyDescent="0.25">
      <c r="A47">
        <v>0.2</v>
      </c>
      <c r="B47">
        <v>3.2045039927107508</v>
      </c>
      <c r="C47">
        <v>3.0862458224843357</v>
      </c>
      <c r="D47">
        <v>2.9926308884102997</v>
      </c>
      <c r="E47">
        <v>2.9174663022387293</v>
      </c>
      <c r="F47">
        <v>2.8566518920010058</v>
      </c>
      <c r="G47">
        <v>2.807335783757464</v>
      </c>
      <c r="H47">
        <v>2.7674664073588273</v>
      </c>
      <c r="I47">
        <v>2.7355243844202537</v>
      </c>
      <c r="J47">
        <v>2.7103592140572816</v>
      </c>
      <c r="K47" t="s">
        <v>105</v>
      </c>
      <c r="L47">
        <v>0.2</v>
      </c>
      <c r="M47">
        <v>1.3908294061881274</v>
      </c>
      <c r="N47">
        <v>1.2915918789516141</v>
      </c>
      <c r="O47">
        <v>1.2073513219288001</v>
      </c>
      <c r="P47">
        <v>1.1342970026271821</v>
      </c>
      <c r="Q47">
        <v>1.0699050579611742</v>
      </c>
      <c r="R47">
        <v>1.0124175169110652</v>
      </c>
      <c r="S47">
        <v>0.96055857342416595</v>
      </c>
      <c r="T47">
        <v>0.91337359868277845</v>
      </c>
      <c r="U47">
        <v>0.87012950317047344</v>
      </c>
      <c r="V47" t="s">
        <v>105</v>
      </c>
    </row>
    <row r="48" spans="1:22" x14ac:dyDescent="0.25">
      <c r="A48">
        <v>0.3</v>
      </c>
      <c r="B48">
        <v>3.2045045605537927</v>
      </c>
      <c r="C48">
        <v>3.0924450523276712</v>
      </c>
      <c r="D48">
        <v>3.003649907293561</v>
      </c>
      <c r="E48">
        <v>2.9323454120241639</v>
      </c>
      <c r="F48">
        <v>2.8746927877303246</v>
      </c>
      <c r="G48">
        <v>2.8280111636196725</v>
      </c>
      <c r="H48">
        <v>2.7903689884158327</v>
      </c>
      <c r="I48">
        <v>2.7603306251479798</v>
      </c>
      <c r="J48">
        <v>2.7368062315990795</v>
      </c>
      <c r="K48" t="s">
        <v>105</v>
      </c>
      <c r="L48">
        <v>0.3</v>
      </c>
      <c r="M48">
        <v>1.3908293966908327</v>
      </c>
      <c r="N48">
        <v>1.29427762538299</v>
      </c>
      <c r="O48">
        <v>1.2119676160226733</v>
      </c>
      <c r="P48">
        <v>1.1403325207969259</v>
      </c>
      <c r="Q48">
        <v>1.0769981488342724</v>
      </c>
      <c r="R48">
        <v>1.0203036196617772</v>
      </c>
      <c r="S48">
        <v>0.96903952077745559</v>
      </c>
      <c r="T48">
        <v>0.92229793573741781</v>
      </c>
      <c r="U48">
        <v>0.87937968687113144</v>
      </c>
      <c r="V48" t="s">
        <v>105</v>
      </c>
    </row>
    <row r="49" spans="1:22" x14ac:dyDescent="0.25">
      <c r="A49">
        <v>0.4</v>
      </c>
      <c r="B49">
        <v>3.2045051660352075</v>
      </c>
      <c r="C49">
        <v>3.0986690993930517</v>
      </c>
      <c r="D49">
        <v>3.0147495458080211</v>
      </c>
      <c r="E49">
        <v>2.9473737459568898</v>
      </c>
      <c r="F49">
        <v>2.8929547415326371</v>
      </c>
      <c r="G49">
        <v>2.8489803990128286</v>
      </c>
      <c r="H49">
        <v>2.8136348946328185</v>
      </c>
      <c r="I49">
        <v>2.7855653272934409</v>
      </c>
      <c r="J49">
        <v>2.7637420472551213</v>
      </c>
      <c r="K49" t="s">
        <v>105</v>
      </c>
      <c r="L49">
        <v>0.4</v>
      </c>
      <c r="M49">
        <v>1.3908285057425149</v>
      </c>
      <c r="N49">
        <v>1.2969765892522076</v>
      </c>
      <c r="O49">
        <v>1.2166261890873002</v>
      </c>
      <c r="P49">
        <v>1.1464449840171034</v>
      </c>
      <c r="Q49">
        <v>1.0842043652655025</v>
      </c>
      <c r="R49">
        <v>1.0283378416712416</v>
      </c>
      <c r="S49">
        <v>0.97770128459076189</v>
      </c>
      <c r="T49">
        <v>0.9314331796748031</v>
      </c>
      <c r="U49">
        <v>0.88886795033796373</v>
      </c>
      <c r="V49" t="s">
        <v>105</v>
      </c>
    </row>
    <row r="50" spans="1:22" x14ac:dyDescent="0.25">
      <c r="A50">
        <v>0.5</v>
      </c>
      <c r="B50">
        <v>3.2045041078081762</v>
      </c>
      <c r="C50">
        <v>3.104918410268263</v>
      </c>
      <c r="D50">
        <v>3.0259307590263589</v>
      </c>
      <c r="E50">
        <v>2.9625540308137759</v>
      </c>
      <c r="F50">
        <v>2.9114435220688621</v>
      </c>
      <c r="G50">
        <v>2.8702514966391326</v>
      </c>
      <c r="H50">
        <v>2.8372752957247407</v>
      </c>
      <c r="I50">
        <v>2.8112431696295932</v>
      </c>
      <c r="J50">
        <v>2.7911848337780083</v>
      </c>
      <c r="K50" t="s">
        <v>105</v>
      </c>
      <c r="L50">
        <v>0.5</v>
      </c>
      <c r="M50">
        <v>1.3908278842324744</v>
      </c>
      <c r="N50">
        <v>1.2996890432880148</v>
      </c>
      <c r="O50">
        <v>1.2213278623659689</v>
      </c>
      <c r="P50">
        <v>1.1526362632186071</v>
      </c>
      <c r="Q50">
        <v>1.0915266475120533</v>
      </c>
      <c r="R50">
        <v>1.036524461238981</v>
      </c>
      <c r="S50">
        <v>0.98654985951562002</v>
      </c>
      <c r="T50">
        <v>0.94078697975962888</v>
      </c>
      <c r="U50">
        <v>0.89860379666346768</v>
      </c>
      <c r="V50" t="s">
        <v>105</v>
      </c>
    </row>
    <row r="51" spans="1:22" x14ac:dyDescent="0.25">
      <c r="A51">
        <v>0.6</v>
      </c>
      <c r="B51">
        <v>3.2045036308890054</v>
      </c>
      <c r="C51">
        <v>3.1111932113245166</v>
      </c>
      <c r="D51">
        <v>3.0371946265732404</v>
      </c>
      <c r="E51">
        <v>2.9778887542685424</v>
      </c>
      <c r="F51">
        <v>2.9301642436018835</v>
      </c>
      <c r="G51">
        <v>2.8918327902835776</v>
      </c>
      <c r="H51">
        <v>2.8613018888219921</v>
      </c>
      <c r="I51">
        <v>2.8373794445639331</v>
      </c>
      <c r="J51">
        <v>2.8191537278399146</v>
      </c>
      <c r="K51" t="s">
        <v>105</v>
      </c>
      <c r="L51">
        <v>0.6</v>
      </c>
      <c r="M51">
        <v>1.3908278278453379</v>
      </c>
      <c r="N51">
        <v>1.3024149810251968</v>
      </c>
      <c r="O51">
        <v>1.2260729324618482</v>
      </c>
      <c r="P51">
        <v>1.1589079972324412</v>
      </c>
      <c r="Q51">
        <v>1.0989677840582759</v>
      </c>
      <c r="R51">
        <v>1.0448680132271733</v>
      </c>
      <c r="S51">
        <v>0.99559150714166134</v>
      </c>
      <c r="T51">
        <v>0.9503675838558775</v>
      </c>
      <c r="U51">
        <v>0.90859730362376201</v>
      </c>
      <c r="V51" t="s">
        <v>105</v>
      </c>
    </row>
    <row r="52" spans="1:22" x14ac:dyDescent="0.25">
      <c r="A52">
        <v>0.7</v>
      </c>
      <c r="B52">
        <v>3.2045038322184105</v>
      </c>
      <c r="C52">
        <v>3.1174935686326832</v>
      </c>
      <c r="D52">
        <v>3.0485422298431191</v>
      </c>
      <c r="E52">
        <v>2.9933804653306071</v>
      </c>
      <c r="F52">
        <v>2.9491224408190493</v>
      </c>
      <c r="G52">
        <v>2.9137328696179168</v>
      </c>
      <c r="H52">
        <v>2.8857269152500664</v>
      </c>
      <c r="I52">
        <v>2.8639902966933217</v>
      </c>
      <c r="J52">
        <v>2.8476689883887212</v>
      </c>
      <c r="L52">
        <v>0.7</v>
      </c>
      <c r="M52">
        <v>1.3908278329772443</v>
      </c>
      <c r="N52">
        <v>1.3051548371596999</v>
      </c>
      <c r="O52">
        <v>1.2308620518382298</v>
      </c>
      <c r="P52">
        <v>1.1652615750431954</v>
      </c>
      <c r="Q52">
        <v>1.1065308085066698</v>
      </c>
      <c r="R52">
        <v>1.0533731082210429</v>
      </c>
      <c r="S52">
        <v>1.0048328700056031</v>
      </c>
      <c r="T52">
        <v>0.96018346881424299</v>
      </c>
      <c r="U52">
        <v>0.91885906150603003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E351B-0B0D-43C0-B50B-92B46A208F71}">
  <dimension ref="A2:AG52"/>
  <sheetViews>
    <sheetView topLeftCell="A40" workbookViewId="0">
      <selection activeCell="M45" sqref="M45:V52"/>
    </sheetView>
  </sheetViews>
  <sheetFormatPr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v>413.06058258120919</v>
      </c>
      <c r="C3">
        <v>395.98255890834764</v>
      </c>
      <c r="D3">
        <v>381.44755662107883</v>
      </c>
      <c r="E3">
        <v>368.91332356565266</v>
      </c>
      <c r="F3">
        <v>358.01687425736384</v>
      </c>
      <c r="G3">
        <v>348.49887299877565</v>
      </c>
      <c r="H3">
        <v>340.1652815168618</v>
      </c>
      <c r="I3">
        <v>332.86581951821239</v>
      </c>
      <c r="J3">
        <v>326.48092834857709</v>
      </c>
      <c r="K3" t="s">
        <v>105</v>
      </c>
      <c r="L3">
        <v>0</v>
      </c>
      <c r="M3">
        <v>297.08709625616632</v>
      </c>
      <c r="N3">
        <v>296.93518980331953</v>
      </c>
      <c r="O3">
        <v>296.65396563401225</v>
      </c>
      <c r="P3">
        <v>296.37347670946156</v>
      </c>
      <c r="Q3">
        <v>296.14163506934597</v>
      </c>
      <c r="R3">
        <v>295.97393153119611</v>
      </c>
      <c r="S3">
        <v>295.87201557289899</v>
      </c>
      <c r="T3">
        <v>295.83133956969084</v>
      </c>
      <c r="U3">
        <v>295.84465500796864</v>
      </c>
      <c r="V3" t="s">
        <v>105</v>
      </c>
      <c r="W3">
        <v>0</v>
      </c>
      <c r="X3">
        <v>115.97348632504286</v>
      </c>
      <c r="Y3">
        <v>99.047369105028153</v>
      </c>
      <c r="Z3">
        <v>84.793590987066565</v>
      </c>
      <c r="AA3">
        <v>72.53984685619109</v>
      </c>
      <c r="AB3">
        <v>61.875239188017886</v>
      </c>
      <c r="AC3">
        <v>52.524941467579495</v>
      </c>
      <c r="AD3">
        <v>44.293265943962808</v>
      </c>
      <c r="AE3">
        <v>37.034479948521557</v>
      </c>
      <c r="AF3">
        <v>30.636273340608483</v>
      </c>
      <c r="AG3" t="s">
        <v>105</v>
      </c>
    </row>
    <row r="4" spans="1:33" x14ac:dyDescent="0.25">
      <c r="A4">
        <v>0.1</v>
      </c>
      <c r="B4">
        <v>413.06058258114791</v>
      </c>
      <c r="C4">
        <v>396.3762316619605</v>
      </c>
      <c r="D4">
        <v>382.16183561488697</v>
      </c>
      <c r="E4">
        <v>369.89554025487331</v>
      </c>
      <c r="F4">
        <v>359.22702131963814</v>
      </c>
      <c r="G4">
        <v>349.90540752996037</v>
      </c>
      <c r="H4">
        <v>341.74261862476783</v>
      </c>
      <c r="I4">
        <v>334.59272978541281</v>
      </c>
      <c r="J4">
        <v>328.33945972360868</v>
      </c>
      <c r="K4" t="s">
        <v>105</v>
      </c>
      <c r="L4">
        <v>0.1</v>
      </c>
      <c r="M4">
        <v>297.08709625610396</v>
      </c>
      <c r="N4">
        <v>297.33071117531</v>
      </c>
      <c r="O4">
        <v>297.37243874936115</v>
      </c>
      <c r="P4">
        <v>297.36099705555529</v>
      </c>
      <c r="Q4">
        <v>297.35676835538169</v>
      </c>
      <c r="R4">
        <v>297.38393247540978</v>
      </c>
      <c r="S4">
        <v>297.45039582335824</v>
      </c>
      <c r="T4">
        <v>297.55626525020028</v>
      </c>
      <c r="U4">
        <v>297.69784200271357</v>
      </c>
      <c r="V4" t="s">
        <v>105</v>
      </c>
      <c r="W4">
        <v>0.1</v>
      </c>
      <c r="X4">
        <v>115.97348632504395</v>
      </c>
      <c r="Y4">
        <v>99.045520486650517</v>
      </c>
      <c r="Z4">
        <v>84.789396865525802</v>
      </c>
      <c r="AA4">
        <v>72.534543199317966</v>
      </c>
      <c r="AB4">
        <v>61.87025296425643</v>
      </c>
      <c r="AC4">
        <v>52.521475054550578</v>
      </c>
      <c r="AD4">
        <v>44.292222801409579</v>
      </c>
      <c r="AE4">
        <v>37.036464535212559</v>
      </c>
      <c r="AF4">
        <v>30.641617720895155</v>
      </c>
      <c r="AG4" t="s">
        <v>105</v>
      </c>
    </row>
    <row r="5" spans="1:33" x14ac:dyDescent="0.25">
      <c r="A5">
        <v>0.2</v>
      </c>
      <c r="B5">
        <v>413.06058258113598</v>
      </c>
      <c r="C5">
        <v>396.77059369067933</v>
      </c>
      <c r="D5">
        <v>382.8783041740038</v>
      </c>
      <c r="E5">
        <v>370.88177451039741</v>
      </c>
      <c r="F5">
        <v>360.44310988752522</v>
      </c>
      <c r="G5">
        <v>351.31978644851108</v>
      </c>
      <c r="H5">
        <v>343.32962273601242</v>
      </c>
      <c r="I5">
        <v>336.33102120598869</v>
      </c>
      <c r="J5">
        <v>330.21096707673746</v>
      </c>
      <c r="K5" t="s">
        <v>105</v>
      </c>
      <c r="L5">
        <v>0.2</v>
      </c>
      <c r="M5">
        <v>297.08709625609379</v>
      </c>
      <c r="N5">
        <v>297.7276109566983</v>
      </c>
      <c r="O5">
        <v>298.09531005297885</v>
      </c>
      <c r="P5">
        <v>298.35660284969555</v>
      </c>
      <c r="Q5">
        <v>298.58386684659257</v>
      </c>
      <c r="R5">
        <v>298.80972623530221</v>
      </c>
      <c r="S5">
        <v>299.04822545783816</v>
      </c>
      <c r="T5">
        <v>299.30406607250922</v>
      </c>
      <c r="U5">
        <v>299.57707915939989</v>
      </c>
      <c r="V5" t="s">
        <v>105</v>
      </c>
      <c r="W5">
        <v>0.2</v>
      </c>
      <c r="X5">
        <v>115.97348632504219</v>
      </c>
      <c r="Y5">
        <v>99.042982733980992</v>
      </c>
      <c r="Z5">
        <v>84.78299412102497</v>
      </c>
      <c r="AA5">
        <v>72.525171660701858</v>
      </c>
      <c r="AB5">
        <v>61.859243040932611</v>
      </c>
      <c r="AC5">
        <v>52.510060213208909</v>
      </c>
      <c r="AD5">
        <v>44.281397278174325</v>
      </c>
      <c r="AE5">
        <v>37.026955133479468</v>
      </c>
      <c r="AF5">
        <v>30.633887917337614</v>
      </c>
      <c r="AG5" t="s">
        <v>105</v>
      </c>
    </row>
    <row r="6" spans="1:33" x14ac:dyDescent="0.25">
      <c r="A6">
        <v>0.3</v>
      </c>
      <c r="B6">
        <v>413.06058258113461</v>
      </c>
      <c r="C6">
        <v>397.16564832748224</v>
      </c>
      <c r="D6">
        <v>383.59698114924498</v>
      </c>
      <c r="E6">
        <v>371.87207326647973</v>
      </c>
      <c r="F6">
        <v>361.66522464743571</v>
      </c>
      <c r="G6">
        <v>352.74213875484867</v>
      </c>
      <c r="H6">
        <v>344.92647111891745</v>
      </c>
      <c r="I6">
        <v>338.08092125046687</v>
      </c>
      <c r="J6">
        <v>332.09572850978446</v>
      </c>
      <c r="K6" t="s">
        <v>105</v>
      </c>
      <c r="L6">
        <v>0.3</v>
      </c>
      <c r="M6">
        <v>297.08709625609384</v>
      </c>
      <c r="N6">
        <v>298.12589981003657</v>
      </c>
      <c r="O6">
        <v>298.82263747300453</v>
      </c>
      <c r="P6">
        <v>299.36043643712344</v>
      </c>
      <c r="Q6">
        <v>299.82318760134314</v>
      </c>
      <c r="R6">
        <v>300.25170504674776</v>
      </c>
      <c r="S6">
        <v>300.66604120986841</v>
      </c>
      <c r="T6">
        <v>301.07543119178195</v>
      </c>
      <c r="U6">
        <v>301.48321067640518</v>
      </c>
      <c r="V6" t="s">
        <v>105</v>
      </c>
      <c r="W6">
        <v>0.3</v>
      </c>
      <c r="X6">
        <v>115.97348632504071</v>
      </c>
      <c r="Y6">
        <v>99.039748517445688</v>
      </c>
      <c r="Z6">
        <v>84.774343676240449</v>
      </c>
      <c r="AA6">
        <v>72.511636829356306</v>
      </c>
      <c r="AB6">
        <v>61.842037046092585</v>
      </c>
      <c r="AC6">
        <v>52.490433708100952</v>
      </c>
      <c r="AD6">
        <v>44.260429909048995</v>
      </c>
      <c r="AE6">
        <v>37.005490058684913</v>
      </c>
      <c r="AF6">
        <v>30.612517833379307</v>
      </c>
      <c r="AG6" t="s">
        <v>105</v>
      </c>
    </row>
    <row r="7" spans="1:33" x14ac:dyDescent="0.25">
      <c r="A7">
        <v>0.4</v>
      </c>
      <c r="B7">
        <v>413.06058258113438</v>
      </c>
      <c r="C7">
        <v>397.56139893110407</v>
      </c>
      <c r="D7">
        <v>384.31788565084878</v>
      </c>
      <c r="E7">
        <v>372.86648433439791</v>
      </c>
      <c r="F7">
        <v>362.89345221879614</v>
      </c>
      <c r="G7">
        <v>354.17259685165004</v>
      </c>
      <c r="H7">
        <v>346.53334626423248</v>
      </c>
      <c r="I7">
        <v>339.84266470829687</v>
      </c>
      <c r="J7">
        <v>333.99403174249591</v>
      </c>
      <c r="K7" t="s">
        <v>105</v>
      </c>
      <c r="L7">
        <v>0.4</v>
      </c>
      <c r="M7">
        <v>297.08709625609424</v>
      </c>
      <c r="N7">
        <v>298.52558798327703</v>
      </c>
      <c r="O7">
        <v>299.5544781744627</v>
      </c>
      <c r="P7">
        <v>300.37264523645268</v>
      </c>
      <c r="Q7">
        <v>301.07499580681792</v>
      </c>
      <c r="R7">
        <v>301.71027417719301</v>
      </c>
      <c r="S7">
        <v>302.30440347598119</v>
      </c>
      <c r="T7">
        <v>302.8710816615598</v>
      </c>
      <c r="U7">
        <v>303.4171161850424</v>
      </c>
      <c r="V7" t="s">
        <v>105</v>
      </c>
      <c r="W7">
        <v>0.4</v>
      </c>
      <c r="X7">
        <v>115.9734863250402</v>
      </c>
      <c r="Y7">
        <v>99.035810947827031</v>
      </c>
      <c r="Z7">
        <v>84.763407476386064</v>
      </c>
      <c r="AA7">
        <v>72.49383909794517</v>
      </c>
      <c r="AB7">
        <v>61.818456411978239</v>
      </c>
      <c r="AC7">
        <v>52.462322674457006</v>
      </c>
      <c r="AD7">
        <v>44.22894278825126</v>
      </c>
      <c r="AE7">
        <v>36.971583046737081</v>
      </c>
      <c r="AF7">
        <v>30.5769155574535</v>
      </c>
      <c r="AG7" t="s">
        <v>105</v>
      </c>
    </row>
    <row r="8" spans="1:33" x14ac:dyDescent="0.25">
      <c r="A8">
        <v>0.5</v>
      </c>
      <c r="B8">
        <v>413.06058258113433</v>
      </c>
      <c r="C8">
        <v>397.95784888633631</v>
      </c>
      <c r="D8">
        <v>385.0410370533736</v>
      </c>
      <c r="E8">
        <v>373.86505642517312</v>
      </c>
      <c r="F8">
        <v>364.12788121523243</v>
      </c>
      <c r="G8">
        <v>355.61129666837473</v>
      </c>
      <c r="H8">
        <v>348.15043609884975</v>
      </c>
      <c r="I8">
        <v>341.61649401526921</v>
      </c>
      <c r="J8">
        <v>335.90617457540014</v>
      </c>
      <c r="K8" t="s">
        <v>105</v>
      </c>
      <c r="L8">
        <v>0.5</v>
      </c>
      <c r="M8">
        <v>297.08709625609271</v>
      </c>
      <c r="N8">
        <v>298.92668404517121</v>
      </c>
      <c r="O8">
        <v>300.29089217107725</v>
      </c>
      <c r="P8">
        <v>301.39337754601684</v>
      </c>
      <c r="Q8">
        <v>302.33956401403304</v>
      </c>
      <c r="R8">
        <v>303.18585519041636</v>
      </c>
      <c r="S8">
        <v>303.96389405679093</v>
      </c>
      <c r="T8">
        <v>304.69176914842302</v>
      </c>
      <c r="U8">
        <v>305.37972010887341</v>
      </c>
      <c r="V8" t="s">
        <v>105</v>
      </c>
      <c r="W8">
        <v>0.5</v>
      </c>
      <c r="X8">
        <v>115.97348632504162</v>
      </c>
      <c r="Y8">
        <v>99.031164841165094</v>
      </c>
      <c r="Z8">
        <v>84.750144882296311</v>
      </c>
      <c r="AA8">
        <v>72.471678879156229</v>
      </c>
      <c r="AB8">
        <v>61.788317201199419</v>
      </c>
      <c r="AC8">
        <v>52.425441477958344</v>
      </c>
      <c r="AD8">
        <v>44.186542042058747</v>
      </c>
      <c r="AE8">
        <v>36.924724866846205</v>
      </c>
      <c r="AF8">
        <v>30.526454466526715</v>
      </c>
      <c r="AG8" t="s">
        <v>105</v>
      </c>
    </row>
    <row r="9" spans="1:33" x14ac:dyDescent="0.25">
      <c r="A9">
        <v>0.6</v>
      </c>
      <c r="B9">
        <v>413.06058258112444</v>
      </c>
      <c r="C9">
        <v>398.35500160424311</v>
      </c>
      <c r="D9">
        <v>385.76645500080429</v>
      </c>
      <c r="E9">
        <v>374.86783917302881</v>
      </c>
      <c r="F9">
        <v>365.36860230824504</v>
      </c>
      <c r="G9">
        <v>357.05837779170156</v>
      </c>
      <c r="H9">
        <v>349.77793421079798</v>
      </c>
      <c r="I9">
        <v>343.40265959984811</v>
      </c>
      <c r="J9">
        <v>337.83246538161114</v>
      </c>
      <c r="K9" t="s">
        <v>105</v>
      </c>
      <c r="L9">
        <v>0.6</v>
      </c>
      <c r="M9">
        <v>297.08709625612994</v>
      </c>
      <c r="N9">
        <v>299.3292000545041</v>
      </c>
      <c r="O9">
        <v>301.03193906622738</v>
      </c>
      <c r="P9">
        <v>302.42278776656389</v>
      </c>
      <c r="Q9">
        <v>303.61717457897862</v>
      </c>
      <c r="R9">
        <v>304.67887706462346</v>
      </c>
      <c r="S9">
        <v>305.64511851275165</v>
      </c>
      <c r="T9">
        <v>306.53827758033106</v>
      </c>
      <c r="U9">
        <v>307.37199094788099</v>
      </c>
      <c r="V9" t="s">
        <v>105</v>
      </c>
      <c r="W9">
        <v>0.6</v>
      </c>
      <c r="X9">
        <v>115.9734863249945</v>
      </c>
      <c r="Y9">
        <v>99.025801549739029</v>
      </c>
      <c r="Z9">
        <v>84.734515934576919</v>
      </c>
      <c r="AA9">
        <v>72.445051406464927</v>
      </c>
      <c r="AB9">
        <v>61.751427729266403</v>
      </c>
      <c r="AC9">
        <v>52.379500727078032</v>
      </c>
      <c r="AD9">
        <v>44.132815698046315</v>
      </c>
      <c r="AE9">
        <v>36.864382019517024</v>
      </c>
      <c r="AF9">
        <v>30.460474433730141</v>
      </c>
      <c r="AG9" t="s">
        <v>105</v>
      </c>
    </row>
    <row r="10" spans="1:33" x14ac:dyDescent="0.25">
      <c r="A10">
        <v>0.7</v>
      </c>
      <c r="B10">
        <v>413.06058258112398</v>
      </c>
      <c r="C10">
        <v>398.75286052249731</v>
      </c>
      <c r="D10">
        <v>386.49415941170082</v>
      </c>
      <c r="E10">
        <v>375.87488315965044</v>
      </c>
      <c r="F10">
        <v>366.61570829351461</v>
      </c>
      <c r="G10">
        <v>358.51398360210482</v>
      </c>
      <c r="H10">
        <v>351.41604008626405</v>
      </c>
      <c r="I10">
        <v>345.20142024977605</v>
      </c>
      <c r="J10">
        <v>339.77322362954249</v>
      </c>
      <c r="L10">
        <v>0.7</v>
      </c>
      <c r="M10">
        <v>297.08709625609379</v>
      </c>
      <c r="N10">
        <v>299.73314511931818</v>
      </c>
      <c r="O10">
        <v>301.77768000375863</v>
      </c>
      <c r="P10">
        <v>303.461031815392</v>
      </c>
      <c r="Q10">
        <v>304.90811701564246</v>
      </c>
      <c r="R10">
        <v>306.1897873263045</v>
      </c>
      <c r="S10">
        <v>307.34870693802651</v>
      </c>
      <c r="T10">
        <v>308.41142605193079</v>
      </c>
      <c r="U10">
        <v>309.39494255800315</v>
      </c>
      <c r="W10">
        <v>0.7</v>
      </c>
      <c r="X10">
        <v>115.97348632503015</v>
      </c>
      <c r="Y10">
        <v>99.019715403179106</v>
      </c>
      <c r="Z10">
        <v>84.716479407942217</v>
      </c>
      <c r="AA10">
        <v>72.413851344258433</v>
      </c>
      <c r="AB10">
        <v>61.707591277872126</v>
      </c>
      <c r="AC10">
        <v>52.324196275800304</v>
      </c>
      <c r="AD10">
        <v>44.067333148237552</v>
      </c>
      <c r="AE10">
        <v>36.789994197845296</v>
      </c>
      <c r="AF10">
        <v>30.378281071539291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v>1134.4281282543939</v>
      </c>
      <c r="C17">
        <v>1138.5095725650162</v>
      </c>
      <c r="D17">
        <v>1141.0116258693354</v>
      </c>
      <c r="E17">
        <v>1142.6104951796817</v>
      </c>
      <c r="F17">
        <v>1143.6392311441693</v>
      </c>
      <c r="G17">
        <v>1144.2789646383669</v>
      </c>
      <c r="H17">
        <v>1144.6348720762794</v>
      </c>
      <c r="I17">
        <v>1144.7709032080811</v>
      </c>
      <c r="J17">
        <v>1144.7267304244963</v>
      </c>
      <c r="K17" t="s">
        <v>105</v>
      </c>
      <c r="L17">
        <v>0</v>
      </c>
      <c r="M17">
        <v>509.44401874105142</v>
      </c>
      <c r="N17">
        <v>449.16728280056299</v>
      </c>
      <c r="O17">
        <v>398.12419601823387</v>
      </c>
      <c r="P17">
        <v>353.71791471262247</v>
      </c>
      <c r="Q17">
        <v>314.39938191077408</v>
      </c>
      <c r="R17">
        <v>279.15538223490245</v>
      </c>
      <c r="S17">
        <v>247.27922319928479</v>
      </c>
      <c r="T17">
        <v>218.25451501833592</v>
      </c>
      <c r="U17">
        <v>191.69039959882824</v>
      </c>
      <c r="V17" t="s">
        <v>105</v>
      </c>
    </row>
    <row r="18" spans="1:22" x14ac:dyDescent="0.25">
      <c r="A18">
        <v>0.1</v>
      </c>
      <c r="B18">
        <v>1134.4280595629473</v>
      </c>
      <c r="C18">
        <v>1139.9419290210105</v>
      </c>
      <c r="D18">
        <v>1143.601154050054</v>
      </c>
      <c r="E18">
        <v>1146.1563126288354</v>
      </c>
      <c r="F18">
        <v>1147.9882274817091</v>
      </c>
      <c r="G18">
        <v>1149.3104455313339</v>
      </c>
      <c r="H18">
        <v>1150.251180086919</v>
      </c>
      <c r="I18">
        <v>1150.8912888446291</v>
      </c>
      <c r="J18">
        <v>1151.2832259836728</v>
      </c>
      <c r="K18" t="s">
        <v>105</v>
      </c>
      <c r="L18">
        <v>0.1</v>
      </c>
      <c r="M18">
        <v>509.44399328188808</v>
      </c>
      <c r="N18">
        <v>448.86524809680657</v>
      </c>
      <c r="O18">
        <v>397.54216972937968</v>
      </c>
      <c r="P18">
        <v>352.8857940273673</v>
      </c>
      <c r="Q18">
        <v>313.347090513235</v>
      </c>
      <c r="R18">
        <v>277.91075586836519</v>
      </c>
      <c r="S18">
        <v>245.86763231840317</v>
      </c>
      <c r="T18">
        <v>216.69896011001867</v>
      </c>
      <c r="U18">
        <v>190.01173573290438</v>
      </c>
      <c r="V18" t="s">
        <v>105</v>
      </c>
    </row>
    <row r="19" spans="1:22" x14ac:dyDescent="0.25">
      <c r="A19">
        <v>0.2</v>
      </c>
      <c r="B19">
        <v>1134.4280527987889</v>
      </c>
      <c r="C19">
        <v>1141.3796952645914</v>
      </c>
      <c r="D19">
        <v>1146.2077560307539</v>
      </c>
      <c r="E19">
        <v>1149.7332431773696</v>
      </c>
      <c r="F19">
        <v>1152.3829099709169</v>
      </c>
      <c r="G19">
        <v>1154.4018307298825</v>
      </c>
      <c r="H19">
        <v>1155.9407963480244</v>
      </c>
      <c r="I19">
        <v>1157.097392523023</v>
      </c>
      <c r="J19">
        <v>1157.9367717814837</v>
      </c>
      <c r="K19" t="s">
        <v>105</v>
      </c>
      <c r="L19">
        <v>0.2</v>
      </c>
      <c r="M19">
        <v>509.44398058007317</v>
      </c>
      <c r="N19">
        <v>448.56066373590841</v>
      </c>
      <c r="O19">
        <v>396.95180950908127</v>
      </c>
      <c r="P19">
        <v>352.03814355297379</v>
      </c>
      <c r="Q19">
        <v>312.2716356494596</v>
      </c>
      <c r="R19">
        <v>276.63537390423068</v>
      </c>
      <c r="S19">
        <v>244.41804575262253</v>
      </c>
      <c r="T19">
        <v>215.09854226350524</v>
      </c>
      <c r="U19">
        <v>188.2818690781755</v>
      </c>
      <c r="V19" t="s">
        <v>105</v>
      </c>
    </row>
    <row r="20" spans="1:22" x14ac:dyDescent="0.25">
      <c r="A20">
        <v>0.3</v>
      </c>
      <c r="B20">
        <v>1134.4280527631818</v>
      </c>
      <c r="C20">
        <v>1142.822903136931</v>
      </c>
      <c r="D20">
        <v>1148.8316573846107</v>
      </c>
      <c r="E20">
        <v>1153.3418561325411</v>
      </c>
      <c r="F20">
        <v>1156.8242975292194</v>
      </c>
      <c r="G20">
        <v>1159.5546592239796</v>
      </c>
      <c r="H20">
        <v>1161.7058299181947</v>
      </c>
      <c r="I20">
        <v>1163.3918969923927</v>
      </c>
      <c r="J20">
        <v>1164.6906241335857</v>
      </c>
      <c r="K20" t="s">
        <v>105</v>
      </c>
      <c r="L20">
        <v>0.3</v>
      </c>
      <c r="M20">
        <v>509.44397404435921</v>
      </c>
      <c r="N20">
        <v>448.2534904227042</v>
      </c>
      <c r="O20">
        <v>396.352949726215</v>
      </c>
      <c r="P20">
        <v>351.17462796670827</v>
      </c>
      <c r="Q20">
        <v>311.17240852797556</v>
      </c>
      <c r="R20">
        <v>275.32830548309244</v>
      </c>
      <c r="S20">
        <v>242.92913043969116</v>
      </c>
      <c r="T20">
        <v>213.45160234436327</v>
      </c>
      <c r="U20">
        <v>186.49872630750778</v>
      </c>
      <c r="V20" t="s">
        <v>105</v>
      </c>
    </row>
    <row r="21" spans="1:22" x14ac:dyDescent="0.25">
      <c r="A21">
        <v>0.4</v>
      </c>
      <c r="B21">
        <v>1134.4280531558134</v>
      </c>
      <c r="C21">
        <v>1144.2715939066481</v>
      </c>
      <c r="D21">
        <v>1151.4730973817577</v>
      </c>
      <c r="E21">
        <v>1156.982729567676</v>
      </c>
      <c r="F21">
        <v>1161.3134424206819</v>
      </c>
      <c r="G21">
        <v>1164.7705295220344</v>
      </c>
      <c r="H21">
        <v>1167.5484690600595</v>
      </c>
      <c r="I21">
        <v>1169.7775986893296</v>
      </c>
      <c r="J21">
        <v>1171.5481876096208</v>
      </c>
      <c r="K21" t="s">
        <v>105</v>
      </c>
      <c r="L21">
        <v>0.4</v>
      </c>
      <c r="M21">
        <v>509.44397236439517</v>
      </c>
      <c r="N21">
        <v>447.94368734154642</v>
      </c>
      <c r="O21">
        <v>395.74547132777315</v>
      </c>
      <c r="P21">
        <v>350.29488047562586</v>
      </c>
      <c r="Q21">
        <v>310.04875354685493</v>
      </c>
      <c r="R21">
        <v>273.98856470342673</v>
      </c>
      <c r="S21">
        <v>241.39951500899866</v>
      </c>
      <c r="T21">
        <v>211.75637862458623</v>
      </c>
      <c r="U21">
        <v>184.66026337427854</v>
      </c>
      <c r="V21" t="s">
        <v>105</v>
      </c>
    </row>
    <row r="22" spans="1:22" x14ac:dyDescent="0.25">
      <c r="A22">
        <v>0.5</v>
      </c>
      <c r="B22">
        <v>1134.4280521237893</v>
      </c>
      <c r="C22">
        <v>1145.7258271993071</v>
      </c>
      <c r="D22">
        <v>1154.132313274222</v>
      </c>
      <c r="E22">
        <v>1160.6564665639432</v>
      </c>
      <c r="F22">
        <v>1165.8514298133023</v>
      </c>
      <c r="G22">
        <v>1170.0510863968775</v>
      </c>
      <c r="H22">
        <v>1173.4709905653515</v>
      </c>
      <c r="I22">
        <v>1176.2574231917395</v>
      </c>
      <c r="J22">
        <v>1178.5130499793033</v>
      </c>
      <c r="K22" t="s">
        <v>105</v>
      </c>
      <c r="L22">
        <v>0.5</v>
      </c>
      <c r="M22">
        <v>509.44397811626777</v>
      </c>
      <c r="N22">
        <v>447.63125564499842</v>
      </c>
      <c r="O22">
        <v>395.12920598372955</v>
      </c>
      <c r="P22">
        <v>349.3985586887606</v>
      </c>
      <c r="Q22">
        <v>308.90002203586573</v>
      </c>
      <c r="R22">
        <v>272.61514384749438</v>
      </c>
      <c r="S22">
        <v>239.82779635889298</v>
      </c>
      <c r="T22">
        <v>210.0110328031918</v>
      </c>
      <c r="U22">
        <v>182.7641373541212</v>
      </c>
      <c r="V22" t="s">
        <v>105</v>
      </c>
    </row>
    <row r="23" spans="1:22" x14ac:dyDescent="0.25">
      <c r="A23">
        <v>0.6</v>
      </c>
      <c r="B23">
        <v>1134.4280795764143</v>
      </c>
      <c r="C23">
        <v>1147.185626252842</v>
      </c>
      <c r="D23">
        <v>1156.8095479193994</v>
      </c>
      <c r="E23">
        <v>1164.3636801630751</v>
      </c>
      <c r="F23">
        <v>1170.4393802229024</v>
      </c>
      <c r="G23">
        <v>1175.3980539678869</v>
      </c>
      <c r="H23">
        <v>1179.4757710131116</v>
      </c>
      <c r="I23">
        <v>1182.8344316046671</v>
      </c>
      <c r="J23">
        <v>1185.5889565803418</v>
      </c>
      <c r="K23" t="s">
        <v>105</v>
      </c>
      <c r="L23">
        <v>0.6</v>
      </c>
      <c r="M23">
        <v>509.44389902244222</v>
      </c>
      <c r="N23">
        <v>447.3161470451368</v>
      </c>
      <c r="O23">
        <v>394.50403901550357</v>
      </c>
      <c r="P23">
        <v>348.48527016217554</v>
      </c>
      <c r="Q23">
        <v>307.7255075608748</v>
      </c>
      <c r="R23">
        <v>271.20704178496595</v>
      </c>
      <c r="S23">
        <v>238.21247691642924</v>
      </c>
      <c r="T23">
        <v>208.21364554284276</v>
      </c>
      <c r="U23">
        <v>180.8079941667159</v>
      </c>
      <c r="V23" t="s">
        <v>105</v>
      </c>
    </row>
    <row r="24" spans="1:22" x14ac:dyDescent="0.25">
      <c r="A24">
        <v>0.7</v>
      </c>
      <c r="B24">
        <v>1134.4280528559568</v>
      </c>
      <c r="C24">
        <v>1148.6510507911598</v>
      </c>
      <c r="D24">
        <v>1159.5050514542197</v>
      </c>
      <c r="E24">
        <v>1168.1050037130794</v>
      </c>
      <c r="F24">
        <v>1175.0784497714058</v>
      </c>
      <c r="G24">
        <v>1180.8132646853858</v>
      </c>
      <c r="H24">
        <v>1185.5652861713293</v>
      </c>
      <c r="I24">
        <v>1189.5118260424354</v>
      </c>
      <c r="J24">
        <v>1192.7798490763596</v>
      </c>
      <c r="L24">
        <v>0.7</v>
      </c>
      <c r="M24">
        <v>509.44394701525522</v>
      </c>
      <c r="N24">
        <v>446.99834226753006</v>
      </c>
      <c r="O24">
        <v>393.86981643127905</v>
      </c>
      <c r="P24">
        <v>347.55465358707488</v>
      </c>
      <c r="Q24">
        <v>306.52451708400213</v>
      </c>
      <c r="R24">
        <v>269.76303400226294</v>
      </c>
      <c r="S24">
        <v>236.55200398941844</v>
      </c>
      <c r="T24">
        <v>206.36220024227813</v>
      </c>
      <c r="U24">
        <v>178.78933323759654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v>5000.2681209816874</v>
      </c>
      <c r="C31">
        <v>4888.3144087630517</v>
      </c>
      <c r="D31">
        <v>4813.5496084358801</v>
      </c>
      <c r="E31">
        <v>4762.668896288601</v>
      </c>
      <c r="F31">
        <v>4728.4086398036234</v>
      </c>
      <c r="G31">
        <v>4706.4235572618572</v>
      </c>
      <c r="H31">
        <v>4693.9475306870163</v>
      </c>
      <c r="I31">
        <v>4689.1305650746499</v>
      </c>
      <c r="J31">
        <v>4690.6977558675553</v>
      </c>
      <c r="K31" t="s">
        <v>105</v>
      </c>
      <c r="L31">
        <v>0</v>
      </c>
      <c r="M31">
        <v>1804.0902013936695</v>
      </c>
      <c r="N31">
        <v>1599.5536677663424</v>
      </c>
      <c r="O31">
        <v>1438.1802411798183</v>
      </c>
      <c r="P31">
        <v>1305.7254944113374</v>
      </c>
      <c r="Q31">
        <v>1194.0225566395843</v>
      </c>
      <c r="R31">
        <v>1097.9214991654524</v>
      </c>
      <c r="S31">
        <v>1013.9541007802417</v>
      </c>
      <c r="T31">
        <v>939.6709507897466</v>
      </c>
      <c r="U31">
        <v>873.27614925037005</v>
      </c>
      <c r="V31" t="s">
        <v>105</v>
      </c>
    </row>
    <row r="32" spans="1:22" x14ac:dyDescent="0.25">
      <c r="A32">
        <v>0.1</v>
      </c>
      <c r="B32">
        <v>5000.2699178107605</v>
      </c>
      <c r="C32">
        <v>4893.9983320525098</v>
      </c>
      <c r="D32">
        <v>4823.2736175113696</v>
      </c>
      <c r="E32">
        <v>4775.4253731412427</v>
      </c>
      <c r="F32">
        <v>4743.5175329316316</v>
      </c>
      <c r="G32">
        <v>4723.3938446131051</v>
      </c>
      <c r="H32">
        <v>4712.4033075894786</v>
      </c>
      <c r="I32">
        <v>4708.7706810661284</v>
      </c>
      <c r="J32">
        <v>4711.2706453522151</v>
      </c>
      <c r="K32" t="s">
        <v>105</v>
      </c>
      <c r="L32">
        <v>0.1</v>
      </c>
      <c r="M32">
        <v>1804.0905257701852</v>
      </c>
      <c r="N32">
        <v>1602.519866730094</v>
      </c>
      <c r="O32">
        <v>1442.8841795932772</v>
      </c>
      <c r="P32">
        <v>1311.4714659978658</v>
      </c>
      <c r="Q32">
        <v>1200.3854138056197</v>
      </c>
      <c r="R32">
        <v>1104.6287032439336</v>
      </c>
      <c r="S32">
        <v>1020.8258106856919</v>
      </c>
      <c r="T32">
        <v>946.58638496757305</v>
      </c>
      <c r="U32">
        <v>880.15377106435528</v>
      </c>
      <c r="V32" t="s">
        <v>105</v>
      </c>
    </row>
    <row r="33" spans="1:22" x14ac:dyDescent="0.25">
      <c r="A33">
        <v>0.2</v>
      </c>
      <c r="B33">
        <v>5000.2700947473077</v>
      </c>
      <c r="C33">
        <v>4899.7042361248095</v>
      </c>
      <c r="D33">
        <v>4833.0621443412947</v>
      </c>
      <c r="E33">
        <v>4788.293055630571</v>
      </c>
      <c r="F33">
        <v>4758.7828077151917</v>
      </c>
      <c r="G33">
        <v>4740.5615760277296</v>
      </c>
      <c r="H33">
        <v>4731.0933397219769</v>
      </c>
      <c r="I33">
        <v>4728.677199036073</v>
      </c>
      <c r="J33">
        <v>4732.1381465006289</v>
      </c>
      <c r="K33" t="s">
        <v>105</v>
      </c>
      <c r="L33">
        <v>0.2</v>
      </c>
      <c r="M33">
        <v>1804.0906876046197</v>
      </c>
      <c r="N33">
        <v>1605.5004195862134</v>
      </c>
      <c r="O33">
        <v>1447.6290939747801</v>
      </c>
      <c r="P33">
        <v>1317.2855269714175</v>
      </c>
      <c r="Q33">
        <v>1206.8401233092329</v>
      </c>
      <c r="R33">
        <v>1111.4475768762779</v>
      </c>
      <c r="S33">
        <v>1027.8247825051085</v>
      </c>
      <c r="T33">
        <v>953.64152463196649</v>
      </c>
      <c r="U33">
        <v>887.18030810167943</v>
      </c>
      <c r="V33" t="s">
        <v>105</v>
      </c>
    </row>
    <row r="34" spans="1:22" x14ac:dyDescent="0.25">
      <c r="A34">
        <v>0.3</v>
      </c>
      <c r="B34">
        <v>5000.2700956787166</v>
      </c>
      <c r="C34">
        <v>4905.4325506138148</v>
      </c>
      <c r="D34">
        <v>4842.9162422979553</v>
      </c>
      <c r="E34">
        <v>4801.2739993231808</v>
      </c>
      <c r="F34">
        <v>4774.2079808648905</v>
      </c>
      <c r="G34">
        <v>4757.9319374308034</v>
      </c>
      <c r="H34">
        <v>4750.0242033515033</v>
      </c>
      <c r="I34">
        <v>4748.8584119220768</v>
      </c>
      <c r="J34">
        <v>4753.3102915771387</v>
      </c>
      <c r="K34" t="s">
        <v>105</v>
      </c>
      <c r="L34">
        <v>0.3</v>
      </c>
      <c r="M34">
        <v>1804.0907708764496</v>
      </c>
      <c r="N34">
        <v>1608.4955609283679</v>
      </c>
      <c r="O34">
        <v>1452.4157628224959</v>
      </c>
      <c r="P34">
        <v>1323.1689135421634</v>
      </c>
      <c r="Q34">
        <v>1213.3887356466207</v>
      </c>
      <c r="R34">
        <v>1118.3809961104289</v>
      </c>
      <c r="S34">
        <v>1034.9550222333282</v>
      </c>
      <c r="T34">
        <v>960.84090845255002</v>
      </c>
      <c r="U34">
        <v>894.36110139128414</v>
      </c>
      <c r="V34" t="s">
        <v>105</v>
      </c>
    </row>
    <row r="35" spans="1:22" x14ac:dyDescent="0.25">
      <c r="A35">
        <v>0.4</v>
      </c>
      <c r="B35">
        <v>5000.2700854082659</v>
      </c>
      <c r="C35">
        <v>4911.1834672949708</v>
      </c>
      <c r="D35">
        <v>4852.8366543105922</v>
      </c>
      <c r="E35">
        <v>4814.3705350877644</v>
      </c>
      <c r="F35">
        <v>4789.7966823771958</v>
      </c>
      <c r="G35">
        <v>4775.5101938297767</v>
      </c>
      <c r="H35">
        <v>4769.2030142682079</v>
      </c>
      <c r="I35">
        <v>4769.3232139628917</v>
      </c>
      <c r="J35">
        <v>4774.7974473738368</v>
      </c>
      <c r="K35" t="s">
        <v>105</v>
      </c>
      <c r="L35">
        <v>0.4</v>
      </c>
      <c r="M35">
        <v>1804.0907922809563</v>
      </c>
      <c r="N35">
        <v>1611.5055717778146</v>
      </c>
      <c r="O35">
        <v>1457.244635539088</v>
      </c>
      <c r="P35">
        <v>1329.1229942091784</v>
      </c>
      <c r="Q35">
        <v>1220.033524885677</v>
      </c>
      <c r="R35">
        <v>1125.4320720081955</v>
      </c>
      <c r="S35">
        <v>1042.2205287233164</v>
      </c>
      <c r="T35">
        <v>968.18931670072845</v>
      </c>
      <c r="U35">
        <v>901.70125675072734</v>
      </c>
      <c r="V35" t="s">
        <v>105</v>
      </c>
    </row>
    <row r="36" spans="1:22" x14ac:dyDescent="0.25">
      <c r="A36">
        <v>0.5</v>
      </c>
      <c r="B36">
        <v>5000.270112403914</v>
      </c>
      <c r="C36">
        <v>4916.9566216808144</v>
      </c>
      <c r="D36">
        <v>4862.8244145043582</v>
      </c>
      <c r="E36">
        <v>4827.5846631024369</v>
      </c>
      <c r="F36">
        <v>4805.5526077787845</v>
      </c>
      <c r="G36">
        <v>4793.3021325368763</v>
      </c>
      <c r="H36">
        <v>4788.6371389757514</v>
      </c>
      <c r="I36">
        <v>4790.0807913893632</v>
      </c>
      <c r="J36">
        <v>4796.6104401085668</v>
      </c>
      <c r="K36" t="s">
        <v>105</v>
      </c>
      <c r="L36">
        <v>0.5</v>
      </c>
      <c r="M36">
        <v>1804.0907189960867</v>
      </c>
      <c r="N36">
        <v>1614.5303913134039</v>
      </c>
      <c r="O36">
        <v>1462.1164968730313</v>
      </c>
      <c r="P36">
        <v>1335.1490279727564</v>
      </c>
      <c r="Q36">
        <v>1226.7766721340904</v>
      </c>
      <c r="R36">
        <v>1132.6038505138561</v>
      </c>
      <c r="S36">
        <v>1049.6253395182061</v>
      </c>
      <c r="T36">
        <v>975.69173721370214</v>
      </c>
      <c r="U36">
        <v>909.20688927979677</v>
      </c>
      <c r="V36" t="s">
        <v>105</v>
      </c>
    </row>
    <row r="37" spans="1:22" x14ac:dyDescent="0.25">
      <c r="A37">
        <v>0.6</v>
      </c>
      <c r="B37">
        <v>5000.2693942992646</v>
      </c>
      <c r="C37">
        <v>4922.7527688817881</v>
      </c>
      <c r="D37">
        <v>4872.8804265566014</v>
      </c>
      <c r="E37">
        <v>4840.918721788943</v>
      </c>
      <c r="F37">
        <v>4821.4796637875879</v>
      </c>
      <c r="G37">
        <v>4811.3129161764437</v>
      </c>
      <c r="H37">
        <v>4808.3341951317934</v>
      </c>
      <c r="I37">
        <v>4811.1406490274921</v>
      </c>
      <c r="J37">
        <v>4818.7609106216578</v>
      </c>
      <c r="K37" t="s">
        <v>105</v>
      </c>
      <c r="L37">
        <v>0.6</v>
      </c>
      <c r="M37">
        <v>1804.0917267335576</v>
      </c>
      <c r="N37">
        <v>1617.5702910733735</v>
      </c>
      <c r="O37">
        <v>1467.0317095910541</v>
      </c>
      <c r="P37">
        <v>1341.2485176263208</v>
      </c>
      <c r="Q37">
        <v>1233.6206179545618</v>
      </c>
      <c r="R37">
        <v>1139.8994696666855</v>
      </c>
      <c r="S37">
        <v>1057.1738266131733</v>
      </c>
      <c r="T37">
        <v>983.35337434963049</v>
      </c>
      <c r="U37">
        <v>916.88390737237751</v>
      </c>
      <c r="V37" t="s">
        <v>105</v>
      </c>
    </row>
    <row r="38" spans="1:22" x14ac:dyDescent="0.25">
      <c r="A38">
        <v>0.7</v>
      </c>
      <c r="B38">
        <v>5000.2700932518865</v>
      </c>
      <c r="C38">
        <v>4928.5715954930793</v>
      </c>
      <c r="D38">
        <v>4883.0056002232513</v>
      </c>
      <c r="E38">
        <v>4854.3748483137961</v>
      </c>
      <c r="F38">
        <v>4837.581768654778</v>
      </c>
      <c r="G38">
        <v>4829.5474242612299</v>
      </c>
      <c r="H38">
        <v>4828.3021224065806</v>
      </c>
      <c r="I38">
        <v>4832.5127391873648</v>
      </c>
      <c r="J38">
        <v>4841.2608306408838</v>
      </c>
      <c r="L38">
        <v>0.7</v>
      </c>
      <c r="M38">
        <v>1804.0911152554413</v>
      </c>
      <c r="N38">
        <v>1620.6254038991897</v>
      </c>
      <c r="O38">
        <v>1471.9909495621218</v>
      </c>
      <c r="P38">
        <v>1347.422777081764</v>
      </c>
      <c r="Q38">
        <v>1240.5676833542025</v>
      </c>
      <c r="R38">
        <v>1147.3232796111363</v>
      </c>
      <c r="S38">
        <v>1064.8704864094275</v>
      </c>
      <c r="T38">
        <v>991.17968112913559</v>
      </c>
      <c r="U38">
        <v>924.73865979582297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v>2.5421469064804154</v>
      </c>
      <c r="C45">
        <v>2.4200355901082333</v>
      </c>
      <c r="D45">
        <v>2.3387063538488588</v>
      </c>
      <c r="E45">
        <v>2.2834632042243146</v>
      </c>
      <c r="F45">
        <v>2.2463149641796689</v>
      </c>
      <c r="G45">
        <v>2.2224980667751195</v>
      </c>
      <c r="H45">
        <v>2.2089900864597412</v>
      </c>
      <c r="I45">
        <v>2.2037761627232983</v>
      </c>
      <c r="J45">
        <v>2.2054724124986698</v>
      </c>
      <c r="K45" t="s">
        <v>105</v>
      </c>
      <c r="L45">
        <v>0</v>
      </c>
      <c r="M45">
        <v>1.3908279609259975</v>
      </c>
      <c r="N45">
        <v>1.2123918962251963</v>
      </c>
      <c r="O45">
        <v>1.0740817242566745</v>
      </c>
      <c r="P45">
        <v>0.96242858952985522</v>
      </c>
      <c r="Q45">
        <v>0.86974084917973715</v>
      </c>
      <c r="R45">
        <v>0.79118862431070436</v>
      </c>
      <c r="S45">
        <v>0.72353388368774696</v>
      </c>
      <c r="T45">
        <v>0.66450063569243634</v>
      </c>
      <c r="U45">
        <v>0.61242850519683001</v>
      </c>
      <c r="V45" t="s">
        <v>105</v>
      </c>
    </row>
    <row r="46" spans="1:22" x14ac:dyDescent="0.25">
      <c r="A46">
        <v>0.1</v>
      </c>
      <c r="B46">
        <v>2.5421488693851306</v>
      </c>
      <c r="C46">
        <v>2.4236107615691891</v>
      </c>
      <c r="D46">
        <v>2.3445762476362586</v>
      </c>
      <c r="E46">
        <v>2.2909005363804491</v>
      </c>
      <c r="F46">
        <v>2.2548618698117608</v>
      </c>
      <c r="G46">
        <v>2.2318439154759857</v>
      </c>
      <c r="H46">
        <v>2.2189082411868206</v>
      </c>
      <c r="I46">
        <v>2.2140910746795024</v>
      </c>
      <c r="J46">
        <v>2.2160396675631495</v>
      </c>
      <c r="K46" t="s">
        <v>105</v>
      </c>
      <c r="L46">
        <v>0.1</v>
      </c>
      <c r="M46">
        <v>1.3908282674788763</v>
      </c>
      <c r="N46">
        <v>1.2151777605751897</v>
      </c>
      <c r="O46">
        <v>1.0784740491737907</v>
      </c>
      <c r="P46">
        <v>0.96776440027944954</v>
      </c>
      <c r="Q46">
        <v>0.87561839298976918</v>
      </c>
      <c r="R46">
        <v>0.79735275198632849</v>
      </c>
      <c r="S46">
        <v>0.72981792358310227</v>
      </c>
      <c r="T46">
        <v>0.67079387468505591</v>
      </c>
      <c r="U46">
        <v>0.61865708745794756</v>
      </c>
      <c r="V46" t="s">
        <v>105</v>
      </c>
    </row>
    <row r="47" spans="1:22" x14ac:dyDescent="0.25">
      <c r="A47">
        <v>0.2</v>
      </c>
      <c r="B47">
        <v>2.5421490626754144</v>
      </c>
      <c r="C47">
        <v>2.4272001689507685</v>
      </c>
      <c r="D47">
        <v>2.3504857200776312</v>
      </c>
      <c r="E47">
        <v>2.2984029197540696</v>
      </c>
      <c r="F47">
        <v>2.2634965458347849</v>
      </c>
      <c r="G47">
        <v>2.2412963098801573</v>
      </c>
      <c r="H47">
        <v>2.2289484431542999</v>
      </c>
      <c r="I47">
        <v>2.2245401797632107</v>
      </c>
      <c r="J47">
        <v>2.2267508355651677</v>
      </c>
      <c r="K47" t="s">
        <v>105</v>
      </c>
      <c r="L47">
        <v>0.2</v>
      </c>
      <c r="M47">
        <v>1.3908284204209354</v>
      </c>
      <c r="N47">
        <v>1.2179776291441129</v>
      </c>
      <c r="O47">
        <v>1.0829062018814097</v>
      </c>
      <c r="P47">
        <v>0.97316616438824466</v>
      </c>
      <c r="Q47">
        <v>0.88158462015763195</v>
      </c>
      <c r="R47">
        <v>0.80362434567455621</v>
      </c>
      <c r="S47">
        <v>0.73622405859492834</v>
      </c>
      <c r="T47">
        <v>0.67722072364282304</v>
      </c>
      <c r="U47">
        <v>0.62502766196634474</v>
      </c>
      <c r="V47" t="s">
        <v>105</v>
      </c>
    </row>
    <row r="48" spans="1:22" x14ac:dyDescent="0.25">
      <c r="A48">
        <v>0.3</v>
      </c>
      <c r="B48">
        <v>2.5421490636929094</v>
      </c>
      <c r="C48">
        <v>2.4308042070992024</v>
      </c>
      <c r="D48">
        <v>2.3564355028801276</v>
      </c>
      <c r="E48">
        <v>2.3059715656553106</v>
      </c>
      <c r="F48">
        <v>2.2722209768100177</v>
      </c>
      <c r="G48">
        <v>2.250858097549338</v>
      </c>
      <c r="H48">
        <v>2.2391140224668842</v>
      </c>
      <c r="I48">
        <v>2.2351276153377455</v>
      </c>
      <c r="J48">
        <v>2.2376108799239298</v>
      </c>
      <c r="K48" t="s">
        <v>105</v>
      </c>
      <c r="L48">
        <v>0.3</v>
      </c>
      <c r="M48">
        <v>1.3908284991172002</v>
      </c>
      <c r="N48">
        <v>1.2207917284428087</v>
      </c>
      <c r="O48">
        <v>1.0873789402629448</v>
      </c>
      <c r="P48">
        <v>0.97863510180451285</v>
      </c>
      <c r="Q48">
        <v>0.88764154918498783</v>
      </c>
      <c r="R48">
        <v>0.81000623135847627</v>
      </c>
      <c r="S48">
        <v>0.74275619138355498</v>
      </c>
      <c r="T48">
        <v>0.68378561069177535</v>
      </c>
      <c r="U48">
        <v>0.63154542120558665</v>
      </c>
      <c r="V48" t="s">
        <v>105</v>
      </c>
    </row>
    <row r="49" spans="1:22" x14ac:dyDescent="0.25">
      <c r="A49">
        <v>0.4</v>
      </c>
      <c r="B49">
        <v>2.5421490524731913</v>
      </c>
      <c r="C49">
        <v>2.4344230099759852</v>
      </c>
      <c r="D49">
        <v>2.3624259844360753</v>
      </c>
      <c r="E49">
        <v>2.3136079568119126</v>
      </c>
      <c r="F49">
        <v>2.2810372104461041</v>
      </c>
      <c r="G49">
        <v>2.2605321102731901</v>
      </c>
      <c r="H49">
        <v>2.2494087374423306</v>
      </c>
      <c r="I49">
        <v>2.2458579530160585</v>
      </c>
      <c r="J49">
        <v>2.248624862463843</v>
      </c>
      <c r="K49" t="s">
        <v>105</v>
      </c>
      <c r="L49">
        <v>0.4</v>
      </c>
      <c r="M49">
        <v>1.3908285193455887</v>
      </c>
      <c r="N49">
        <v>1.2236203281094544</v>
      </c>
      <c r="O49">
        <v>1.0918927141273793</v>
      </c>
      <c r="P49">
        <v>0.98417255892128408</v>
      </c>
      <c r="Q49">
        <v>0.89379140967828596</v>
      </c>
      <c r="R49">
        <v>0.81650145764372906</v>
      </c>
      <c r="S49">
        <v>0.74941823246599404</v>
      </c>
      <c r="T49">
        <v>0.6904932021472675</v>
      </c>
      <c r="U49">
        <v>0</v>
      </c>
      <c r="V49" t="s">
        <v>105</v>
      </c>
    </row>
    <row r="50" spans="1:22" x14ac:dyDescent="0.25">
      <c r="A50">
        <v>0.5</v>
      </c>
      <c r="B50">
        <v>2.5421490819639727</v>
      </c>
      <c r="C50">
        <v>2.4380561068393023</v>
      </c>
      <c r="D50">
        <v>2.36845785801049</v>
      </c>
      <c r="E50">
        <v>2.3213131928436774</v>
      </c>
      <c r="F50">
        <v>2.2899473087550128</v>
      </c>
      <c r="G50">
        <v>2.2703216459891364</v>
      </c>
      <c r="H50">
        <v>2.2598364599173251</v>
      </c>
      <c r="I50">
        <v>2.2567358522390291</v>
      </c>
      <c r="J50">
        <v>2.2597980147564694</v>
      </c>
      <c r="K50" t="s">
        <v>105</v>
      </c>
      <c r="L50">
        <v>0.5</v>
      </c>
      <c r="M50">
        <v>1.390828450087527</v>
      </c>
      <c r="N50">
        <v>1.2264633753603376</v>
      </c>
      <c r="O50">
        <v>1.0964482884453211</v>
      </c>
      <c r="P50">
        <v>0.98977977999218991</v>
      </c>
      <c r="Q50">
        <v>0.9000363495725876</v>
      </c>
      <c r="R50">
        <v>0.82311302413204535</v>
      </c>
      <c r="S50">
        <v>0.75621413907644364</v>
      </c>
      <c r="T50">
        <v>0.69734836850394966</v>
      </c>
      <c r="U50">
        <v>0.64504341373106189</v>
      </c>
      <c r="V50" t="s">
        <v>105</v>
      </c>
    </row>
    <row r="51" spans="1:22" x14ac:dyDescent="0.25">
      <c r="A51">
        <v>0.6</v>
      </c>
      <c r="B51">
        <v>2.5421482974869938</v>
      </c>
      <c r="C51">
        <v>2.4417042430694624</v>
      </c>
      <c r="D51">
        <v>2.3745316729170707</v>
      </c>
      <c r="E51">
        <v>2.3290887080751435</v>
      </c>
      <c r="F51">
        <v>2.2989534952183002</v>
      </c>
      <c r="G51">
        <v>2.2802292230469519</v>
      </c>
      <c r="H51">
        <v>2.2704011569174147</v>
      </c>
      <c r="I51">
        <v>2.2677660767872641</v>
      </c>
      <c r="J51">
        <v>2.2711361495139837</v>
      </c>
      <c r="K51" t="s">
        <v>105</v>
      </c>
      <c r="L51">
        <v>0.6</v>
      </c>
      <c r="M51">
        <v>1.3908294024525347</v>
      </c>
      <c r="N51">
        <v>1.2293211325784206</v>
      </c>
      <c r="O51">
        <v>1.1010460339682042</v>
      </c>
      <c r="P51">
        <v>0.99545823998522609</v>
      </c>
      <c r="Q51">
        <v>0.90637876240288928</v>
      </c>
      <c r="R51">
        <v>0.82984401510272687</v>
      </c>
      <c r="S51">
        <v>0.7631481868842972</v>
      </c>
      <c r="T51">
        <v>0.70435619362921276</v>
      </c>
      <c r="U51">
        <v>0.6520353502554217</v>
      </c>
      <c r="V51" t="s">
        <v>105</v>
      </c>
    </row>
    <row r="52" spans="1:22" x14ac:dyDescent="0.25">
      <c r="A52">
        <v>0.7</v>
      </c>
      <c r="B52">
        <v>2.5421490610417754</v>
      </c>
      <c r="C52">
        <v>2.4453670004988317</v>
      </c>
      <c r="D52">
        <v>2.3806479730858694</v>
      </c>
      <c r="E52">
        <v>2.3369356952552685</v>
      </c>
      <c r="F52">
        <v>2.3080579471239071</v>
      </c>
      <c r="G52">
        <v>2.2902568849390956</v>
      </c>
      <c r="H52">
        <v>2.2811069650808928</v>
      </c>
      <c r="I52">
        <v>2.2789536193187159</v>
      </c>
      <c r="J52">
        <v>2.2826450933662588</v>
      </c>
      <c r="L52">
        <v>0.7</v>
      </c>
      <c r="M52">
        <v>1.3908288245734901</v>
      </c>
      <c r="N52">
        <v>1.2321937291728888</v>
      </c>
      <c r="O52">
        <v>1.1056866145317912</v>
      </c>
      <c r="P52">
        <v>1.0012092388483189</v>
      </c>
      <c r="Q52">
        <v>0.91282093515799034</v>
      </c>
      <c r="R52">
        <v>0.83669863645725873</v>
      </c>
      <c r="S52">
        <v>0.77022477876199957</v>
      </c>
      <c r="T52">
        <v>0.71152200642651164</v>
      </c>
      <c r="U52">
        <v>0.65919736095940262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4AD9-FC36-4289-A3EA-70928FB935D1}">
  <dimension ref="A2:AG52"/>
  <sheetViews>
    <sheetView topLeftCell="A31" workbookViewId="0">
      <selection activeCell="M45" sqref="M45:V52"/>
    </sheetView>
  </sheetViews>
  <sheetFormatPr defaultRowHeight="15" x14ac:dyDescent="0.25"/>
  <sheetData>
    <row r="2" spans="1:33" x14ac:dyDescent="0.25">
      <c r="A2" t="s">
        <v>89</v>
      </c>
      <c r="B2">
        <v>0</v>
      </c>
      <c r="C2">
        <v>0.5</v>
      </c>
      <c r="D2">
        <v>1</v>
      </c>
      <c r="E2">
        <v>1.5</v>
      </c>
      <c r="F2">
        <v>2</v>
      </c>
      <c r="G2">
        <v>2.5</v>
      </c>
      <c r="H2">
        <v>3</v>
      </c>
      <c r="I2">
        <v>3.5</v>
      </c>
      <c r="J2">
        <v>4</v>
      </c>
      <c r="L2" t="s">
        <v>90</v>
      </c>
      <c r="M2">
        <v>0</v>
      </c>
      <c r="N2">
        <v>0.5</v>
      </c>
      <c r="O2">
        <v>1</v>
      </c>
      <c r="P2">
        <v>1.5</v>
      </c>
      <c r="Q2">
        <v>2</v>
      </c>
      <c r="R2">
        <v>2.5</v>
      </c>
      <c r="S2">
        <v>3</v>
      </c>
      <c r="T2">
        <v>3.5</v>
      </c>
      <c r="U2">
        <v>4</v>
      </c>
      <c r="W2" t="s">
        <v>91</v>
      </c>
      <c r="X2">
        <v>0</v>
      </c>
      <c r="Y2">
        <v>0.5</v>
      </c>
      <c r="Z2">
        <v>1</v>
      </c>
      <c r="AA2">
        <v>1.5</v>
      </c>
      <c r="AB2">
        <v>2</v>
      </c>
      <c r="AC2">
        <v>2.5</v>
      </c>
      <c r="AD2">
        <v>3</v>
      </c>
      <c r="AE2">
        <v>3.5</v>
      </c>
      <c r="AF2">
        <v>4</v>
      </c>
    </row>
    <row r="3" spans="1:33" x14ac:dyDescent="0.25">
      <c r="A3">
        <v>0</v>
      </c>
      <c r="B3">
        <v>404.77086158420542</v>
      </c>
      <c r="C3">
        <v>391.35336522709554</v>
      </c>
      <c r="D3">
        <v>379.73351434673083</v>
      </c>
      <c r="E3">
        <v>369.49765972327248</v>
      </c>
      <c r="F3">
        <v>360.37719804651732</v>
      </c>
      <c r="G3">
        <v>352.18561350722717</v>
      </c>
      <c r="H3">
        <v>344.7870585261403</v>
      </c>
      <c r="I3">
        <v>338.07900652960689</v>
      </c>
      <c r="J3">
        <v>331.98194180651376</v>
      </c>
      <c r="K3" t="s">
        <v>105</v>
      </c>
      <c r="L3">
        <v>0</v>
      </c>
      <c r="M3">
        <v>288.79737525916943</v>
      </c>
      <c r="N3">
        <v>288.54222754452445</v>
      </c>
      <c r="O3">
        <v>288.01860961362758</v>
      </c>
      <c r="P3">
        <v>287.42461392772395</v>
      </c>
      <c r="Q3">
        <v>286.849820773837</v>
      </c>
      <c r="R3">
        <v>286.33670815509123</v>
      </c>
      <c r="S3">
        <v>285.90510772274729</v>
      </c>
      <c r="T3">
        <v>285.56329939672958</v>
      </c>
      <c r="U3">
        <v>285.31331822343662</v>
      </c>
      <c r="V3" t="s">
        <v>105</v>
      </c>
      <c r="W3">
        <v>0</v>
      </c>
      <c r="X3">
        <v>115.97348632503601</v>
      </c>
      <c r="Y3">
        <v>102.81113768257103</v>
      </c>
      <c r="Z3">
        <v>91.714904733103268</v>
      </c>
      <c r="AA3">
        <v>82.073045795548509</v>
      </c>
      <c r="AB3">
        <v>73.527377272680354</v>
      </c>
      <c r="AC3">
        <v>65.848905352135915</v>
      </c>
      <c r="AD3">
        <v>58.881950803393003</v>
      </c>
      <c r="AE3">
        <v>52.515707132877296</v>
      </c>
      <c r="AF3">
        <v>46.668623583077071</v>
      </c>
      <c r="AG3" t="s">
        <v>105</v>
      </c>
    </row>
    <row r="4" spans="1:33" x14ac:dyDescent="0.25">
      <c r="A4">
        <v>0.1</v>
      </c>
      <c r="B4">
        <v>404.77086158421548</v>
      </c>
      <c r="C4">
        <v>391.6711707833523</v>
      </c>
      <c r="D4">
        <v>380.31870264346497</v>
      </c>
      <c r="E4">
        <v>370.31365600779662</v>
      </c>
      <c r="F4">
        <v>361.39595590340383</v>
      </c>
      <c r="G4">
        <v>353.38476102040602</v>
      </c>
      <c r="H4">
        <v>346.14820916629753</v>
      </c>
      <c r="I4">
        <v>339.58668559814754</v>
      </c>
      <c r="J4">
        <v>333.62286556720863</v>
      </c>
      <c r="K4" t="s">
        <v>105</v>
      </c>
      <c r="L4">
        <v>0.1</v>
      </c>
      <c r="M4">
        <v>288.79737525917574</v>
      </c>
      <c r="N4">
        <v>288.86434261647054</v>
      </c>
      <c r="O4">
        <v>288.61593652578574</v>
      </c>
      <c r="P4">
        <v>288.26047674452639</v>
      </c>
      <c r="Q4">
        <v>287.89473001917924</v>
      </c>
      <c r="R4">
        <v>287.56639877345373</v>
      </c>
      <c r="S4">
        <v>287.29919512643085</v>
      </c>
      <c r="T4">
        <v>287.10436499315477</v>
      </c>
      <c r="U4">
        <v>286.98624616202278</v>
      </c>
      <c r="V4" t="s">
        <v>105</v>
      </c>
      <c r="W4">
        <v>0.1</v>
      </c>
      <c r="X4">
        <v>115.97348632503976</v>
      </c>
      <c r="Y4">
        <v>102.80682816688174</v>
      </c>
      <c r="Z4">
        <v>91.70276611767919</v>
      </c>
      <c r="AA4">
        <v>82.053179263270266</v>
      </c>
      <c r="AB4">
        <v>73.501225884224539</v>
      </c>
      <c r="AC4">
        <v>65.818362246952262</v>
      </c>
      <c r="AD4">
        <v>58.849014039866674</v>
      </c>
      <c r="AE4">
        <v>52.482320604992729</v>
      </c>
      <c r="AF4">
        <v>46.636619405185876</v>
      </c>
      <c r="AG4" t="s">
        <v>105</v>
      </c>
    </row>
    <row r="5" spans="1:33" x14ac:dyDescent="0.25">
      <c r="A5">
        <v>0.2</v>
      </c>
      <c r="B5">
        <v>404.77086158421008</v>
      </c>
      <c r="C5">
        <v>391.98944245526866</v>
      </c>
      <c r="D5">
        <v>380.90541114805404</v>
      </c>
      <c r="E5">
        <v>371.13251211979758</v>
      </c>
      <c r="F5">
        <v>362.41904420392808</v>
      </c>
      <c r="G5">
        <v>354.58975509264531</v>
      </c>
      <c r="H5">
        <v>347.51671837773642</v>
      </c>
      <c r="I5">
        <v>341.10320170342254</v>
      </c>
      <c r="J5">
        <v>335.27405385859265</v>
      </c>
      <c r="K5" t="s">
        <v>105</v>
      </c>
      <c r="L5">
        <v>0.2</v>
      </c>
      <c r="M5">
        <v>288.79737525917125</v>
      </c>
      <c r="N5">
        <v>289.18735850902596</v>
      </c>
      <c r="O5">
        <v>289.21626644898134</v>
      </c>
      <c r="P5">
        <v>289.10202343863244</v>
      </c>
      <c r="Q5">
        <v>288.94828605423419</v>
      </c>
      <c r="R5">
        <v>288.80779957230226</v>
      </c>
      <c r="S5">
        <v>288.70805510838119</v>
      </c>
      <c r="T5">
        <v>288.66319864691809</v>
      </c>
      <c r="U5">
        <v>288.67983600502293</v>
      </c>
      <c r="V5" t="s">
        <v>105</v>
      </c>
      <c r="W5">
        <v>0.2</v>
      </c>
      <c r="X5">
        <v>115.97348632503883</v>
      </c>
      <c r="Y5">
        <v>102.80208394624276</v>
      </c>
      <c r="Z5">
        <v>91.689144699072671</v>
      </c>
      <c r="AA5">
        <v>82.030488681165153</v>
      </c>
      <c r="AB5">
        <v>73.470758149693879</v>
      </c>
      <c r="AC5">
        <v>65.781955520343089</v>
      </c>
      <c r="AD5">
        <v>58.808663269355272</v>
      </c>
      <c r="AE5">
        <v>52.440003056504437</v>
      </c>
      <c r="AF5">
        <v>46.594217853569688</v>
      </c>
      <c r="AG5" t="s">
        <v>105</v>
      </c>
    </row>
    <row r="6" spans="1:33" x14ac:dyDescent="0.25">
      <c r="A6">
        <v>0.3</v>
      </c>
      <c r="B6">
        <v>404.7708615842206</v>
      </c>
      <c r="C6">
        <v>392.30818207306481</v>
      </c>
      <c r="D6">
        <v>381.49365057966787</v>
      </c>
      <c r="E6">
        <v>371.95425565131342</v>
      </c>
      <c r="F6">
        <v>363.44651435348158</v>
      </c>
      <c r="G6">
        <v>355.80067648539909</v>
      </c>
      <c r="H6">
        <v>348.89270050799109</v>
      </c>
      <c r="I6">
        <v>342.62870588855816</v>
      </c>
      <c r="J6">
        <v>336.93569660594517</v>
      </c>
      <c r="K6" t="s">
        <v>105</v>
      </c>
      <c r="L6">
        <v>0.3</v>
      </c>
      <c r="M6">
        <v>288.79737525917903</v>
      </c>
      <c r="N6">
        <v>289.51129075208394</v>
      </c>
      <c r="O6">
        <v>289.81963161172627</v>
      </c>
      <c r="P6">
        <v>289.94933798289503</v>
      </c>
      <c r="Q6">
        <v>290.01064601164876</v>
      </c>
      <c r="R6">
        <v>290.06115730112947</v>
      </c>
      <c r="S6">
        <v>290.13203698658583</v>
      </c>
      <c r="T6">
        <v>290.24026357904421</v>
      </c>
      <c r="U6">
        <v>290.39467137955501</v>
      </c>
      <c r="V6" t="s">
        <v>105</v>
      </c>
      <c r="W6">
        <v>0.3</v>
      </c>
      <c r="X6">
        <v>115.97348632504155</v>
      </c>
      <c r="Y6">
        <v>102.79689132098086</v>
      </c>
      <c r="Z6">
        <v>91.674018967941564</v>
      </c>
      <c r="AA6">
        <v>82.004917668418415</v>
      </c>
      <c r="AB6">
        <v>73.435868341832816</v>
      </c>
      <c r="AC6">
        <v>65.739519184269668</v>
      </c>
      <c r="AD6">
        <v>58.760663521405291</v>
      </c>
      <c r="AE6">
        <v>52.388442309513984</v>
      </c>
      <c r="AF6">
        <v>46.541025226390168</v>
      </c>
      <c r="AG6" t="s">
        <v>105</v>
      </c>
    </row>
    <row r="7" spans="1:33" x14ac:dyDescent="0.25">
      <c r="A7">
        <v>0.4</v>
      </c>
      <c r="B7">
        <v>404.77086158422844</v>
      </c>
      <c r="C7">
        <v>392.62739147864357</v>
      </c>
      <c r="D7">
        <v>382.0834317798068</v>
      </c>
      <c r="E7">
        <v>372.77891462533779</v>
      </c>
      <c r="F7">
        <v>364.47841874613374</v>
      </c>
      <c r="G7">
        <v>357.01760776851762</v>
      </c>
      <c r="H7">
        <v>350.27627278553132</v>
      </c>
      <c r="I7">
        <v>344.16335338187656</v>
      </c>
      <c r="J7">
        <v>338.60798942901988</v>
      </c>
      <c r="K7" t="s">
        <v>105</v>
      </c>
      <c r="L7">
        <v>0.4</v>
      </c>
      <c r="M7">
        <v>288.797375259185</v>
      </c>
      <c r="N7">
        <v>289.83614572163151</v>
      </c>
      <c r="O7">
        <v>290.42606156639056</v>
      </c>
      <c r="P7">
        <v>290.80250351270178</v>
      </c>
      <c r="Q7">
        <v>291.0819675806523</v>
      </c>
      <c r="R7">
        <v>291.32672487919496</v>
      </c>
      <c r="S7">
        <v>291.57150171071714</v>
      </c>
      <c r="T7">
        <v>291.83603895457645</v>
      </c>
      <c r="U7">
        <v>292.13135849729639</v>
      </c>
      <c r="V7" t="s">
        <v>105</v>
      </c>
      <c r="W7">
        <v>0.4</v>
      </c>
      <c r="X7">
        <v>115.97348632504345</v>
      </c>
      <c r="Y7">
        <v>102.79124575701205</v>
      </c>
      <c r="Z7">
        <v>91.657370213416243</v>
      </c>
      <c r="AA7">
        <v>81.976411112635958</v>
      </c>
      <c r="AB7">
        <v>73.396451165481423</v>
      </c>
      <c r="AC7">
        <v>65.690882889322708</v>
      </c>
      <c r="AD7">
        <v>58.704771074814126</v>
      </c>
      <c r="AE7">
        <v>52.327314427300138</v>
      </c>
      <c r="AF7">
        <v>46.476630931723506</v>
      </c>
      <c r="AG7" t="s">
        <v>105</v>
      </c>
    </row>
    <row r="8" spans="1:33" x14ac:dyDescent="0.25">
      <c r="A8">
        <v>0.5</v>
      </c>
      <c r="B8">
        <v>404.77086158411743</v>
      </c>
      <c r="C8">
        <v>392.94707252566121</v>
      </c>
      <c r="D8">
        <v>382.67476571414244</v>
      </c>
      <c r="E8">
        <v>373.60651750518633</v>
      </c>
      <c r="F8">
        <v>365.51481079095225</v>
      </c>
      <c r="G8">
        <v>358.24063337634959</v>
      </c>
      <c r="H8">
        <v>351.66755542036498</v>
      </c>
      <c r="I8">
        <v>345.70730375770978</v>
      </c>
      <c r="J8">
        <v>340.29113387897462</v>
      </c>
      <c r="K8" t="s">
        <v>105</v>
      </c>
      <c r="L8">
        <v>0.5</v>
      </c>
      <c r="M8">
        <v>288.79737525912611</v>
      </c>
      <c r="N8">
        <v>290.16192630285622</v>
      </c>
      <c r="O8">
        <v>291.03558916319832</v>
      </c>
      <c r="P8">
        <v>291.66160792620036</v>
      </c>
      <c r="Q8">
        <v>292.16241706106456</v>
      </c>
      <c r="R8">
        <v>292.60476431008345</v>
      </c>
      <c r="S8">
        <v>293.02682300343827</v>
      </c>
      <c r="T8">
        <v>293.45102287083785</v>
      </c>
      <c r="U8">
        <v>293.89052545035423</v>
      </c>
      <c r="V8" t="s">
        <v>105</v>
      </c>
      <c r="W8">
        <v>0.5</v>
      </c>
      <c r="X8">
        <v>115.9734863249913</v>
      </c>
      <c r="Y8">
        <v>102.78514622280501</v>
      </c>
      <c r="Z8">
        <v>91.639176550944157</v>
      </c>
      <c r="AA8">
        <v>81.944909578985971</v>
      </c>
      <c r="AB8">
        <v>73.35239372988768</v>
      </c>
      <c r="AC8">
        <v>65.635869066266153</v>
      </c>
      <c r="AD8">
        <v>58.640732416926696</v>
      </c>
      <c r="AE8">
        <v>52.256280886871942</v>
      </c>
      <c r="AF8">
        <v>46.400608428620352</v>
      </c>
      <c r="AG8" t="s">
        <v>105</v>
      </c>
    </row>
    <row r="9" spans="1:33" x14ac:dyDescent="0.25">
      <c r="A9">
        <v>0.6</v>
      </c>
      <c r="B9">
        <v>404.77086158413886</v>
      </c>
      <c r="C9">
        <v>393.26722707956031</v>
      </c>
      <c r="D9">
        <v>383.26766347446681</v>
      </c>
      <c r="E9">
        <v>374.43709320404116</v>
      </c>
      <c r="F9">
        <v>366.55574493924729</v>
      </c>
      <c r="G9">
        <v>359.46983966608911</v>
      </c>
      <c r="H9">
        <v>353.06667170917257</v>
      </c>
      <c r="I9">
        <v>347.26072110519129</v>
      </c>
      <c r="J9">
        <v>341.98533768805027</v>
      </c>
      <c r="K9" t="s">
        <v>105</v>
      </c>
      <c r="L9">
        <v>0.6</v>
      </c>
      <c r="M9">
        <v>288.7973752590969</v>
      </c>
      <c r="N9">
        <v>290.48863989763481</v>
      </c>
      <c r="O9">
        <v>291.64824932034412</v>
      </c>
      <c r="P9">
        <v>292.52674063432551</v>
      </c>
      <c r="Q9">
        <v>293.25216105417894</v>
      </c>
      <c r="R9">
        <v>293.89554425972017</v>
      </c>
      <c r="S9">
        <v>294.49838743159324</v>
      </c>
      <c r="T9">
        <v>295.08573056869744</v>
      </c>
      <c r="U9">
        <v>295.67282811342386</v>
      </c>
      <c r="V9" t="s">
        <v>105</v>
      </c>
      <c r="W9">
        <v>0.6</v>
      </c>
      <c r="X9">
        <v>115.97348632504192</v>
      </c>
      <c r="Y9">
        <v>102.77858718192547</v>
      </c>
      <c r="Z9">
        <v>91.619414154122694</v>
      </c>
      <c r="AA9">
        <v>81.910352569715627</v>
      </c>
      <c r="AB9">
        <v>73.303583885068363</v>
      </c>
      <c r="AC9">
        <v>65.574295406368961</v>
      </c>
      <c r="AD9">
        <v>58.568284277579274</v>
      </c>
      <c r="AE9">
        <v>52.174990536493858</v>
      </c>
      <c r="AF9">
        <v>46.312509574626375</v>
      </c>
      <c r="AG9" t="s">
        <v>105</v>
      </c>
    </row>
    <row r="10" spans="1:33" x14ac:dyDescent="0.25">
      <c r="A10">
        <v>0.7</v>
      </c>
      <c r="B10">
        <v>404.77086158418302</v>
      </c>
      <c r="C10">
        <v>393.58785701772524</v>
      </c>
      <c r="D10">
        <v>383.86213628072659</v>
      </c>
      <c r="E10">
        <v>375.27067109480402</v>
      </c>
      <c r="F10">
        <v>367.60127671275023</v>
      </c>
      <c r="G10">
        <v>360.7053149784677</v>
      </c>
      <c r="H10">
        <v>354.47374814522402</v>
      </c>
      <c r="I10">
        <v>348.8237742055195</v>
      </c>
      <c r="J10">
        <v>343.6908150328324</v>
      </c>
      <c r="L10">
        <v>0.7</v>
      </c>
      <c r="M10">
        <v>288.79737525914237</v>
      </c>
      <c r="N10">
        <v>290.81629094542109</v>
      </c>
      <c r="O10">
        <v>292.26407510065604</v>
      </c>
      <c r="P10">
        <v>293.39799084511537</v>
      </c>
      <c r="Q10">
        <v>294.3513738477057</v>
      </c>
      <c r="R10">
        <v>295.19934196648506</v>
      </c>
      <c r="S10">
        <v>295.98659421880404</v>
      </c>
      <c r="T10">
        <v>296.7406987452444</v>
      </c>
      <c r="U10">
        <v>297.47894924604583</v>
      </c>
      <c r="W10">
        <v>0.7</v>
      </c>
      <c r="X10">
        <v>115.97348632504064</v>
      </c>
      <c r="Y10">
        <v>102.77156607230411</v>
      </c>
      <c r="Z10">
        <v>91.598061180070516</v>
      </c>
      <c r="AA10">
        <v>81.872680249688642</v>
      </c>
      <c r="AB10">
        <v>73.249902865044575</v>
      </c>
      <c r="AC10">
        <v>65.505973011982661</v>
      </c>
      <c r="AD10">
        <v>58.487153926419971</v>
      </c>
      <c r="AE10">
        <v>52.083075460275111</v>
      </c>
      <c r="AF10">
        <v>46.211865786786547</v>
      </c>
    </row>
    <row r="16" spans="1:33" x14ac:dyDescent="0.25">
      <c r="A16" t="s">
        <v>93</v>
      </c>
      <c r="B16">
        <v>0</v>
      </c>
      <c r="C16">
        <v>0.5</v>
      </c>
      <c r="D16">
        <v>1</v>
      </c>
      <c r="E16">
        <v>1.5</v>
      </c>
      <c r="F16">
        <v>2</v>
      </c>
      <c r="G16">
        <v>2.5</v>
      </c>
      <c r="H16">
        <v>3</v>
      </c>
      <c r="I16">
        <v>3.5</v>
      </c>
      <c r="J16">
        <v>4</v>
      </c>
      <c r="L16" t="s">
        <v>94</v>
      </c>
      <c r="M16">
        <v>0</v>
      </c>
      <c r="N16">
        <v>0.5</v>
      </c>
      <c r="O16">
        <v>1</v>
      </c>
      <c r="P16">
        <v>1.5</v>
      </c>
      <c r="Q16">
        <v>2</v>
      </c>
      <c r="R16">
        <v>2.5</v>
      </c>
      <c r="S16">
        <v>3</v>
      </c>
      <c r="T16">
        <v>3.5</v>
      </c>
      <c r="U16">
        <v>4</v>
      </c>
    </row>
    <row r="17" spans="1:22" x14ac:dyDescent="0.25">
      <c r="A17">
        <v>0</v>
      </c>
      <c r="B17">
        <v>1011.2083846426887</v>
      </c>
      <c r="C17">
        <v>1010.9413599675203</v>
      </c>
      <c r="D17">
        <v>1009.9806431980145</v>
      </c>
      <c r="E17">
        <v>1008.8249110007997</v>
      </c>
      <c r="F17">
        <v>1007.689895430776</v>
      </c>
      <c r="G17">
        <v>1006.6733836669716</v>
      </c>
      <c r="H17">
        <v>1005.8188339561511</v>
      </c>
      <c r="I17">
        <v>1005.1432375405465</v>
      </c>
      <c r="J17">
        <v>1004.65004054478</v>
      </c>
      <c r="K17" t="s">
        <v>105</v>
      </c>
      <c r="L17">
        <v>0</v>
      </c>
      <c r="M17">
        <v>509.44404321055777</v>
      </c>
      <c r="N17">
        <v>464.226753168958</v>
      </c>
      <c r="O17">
        <v>426.03666164680891</v>
      </c>
      <c r="P17">
        <v>392.60789607979513</v>
      </c>
      <c r="Q17">
        <v>362.63983300892346</v>
      </c>
      <c r="R17">
        <v>335.31264345676095</v>
      </c>
      <c r="S17">
        <v>310.07433841119251</v>
      </c>
      <c r="T17">
        <v>286.53405327873185</v>
      </c>
      <c r="U17">
        <v>264.40378934173282</v>
      </c>
      <c r="V17" t="s">
        <v>105</v>
      </c>
    </row>
    <row r="18" spans="1:22" x14ac:dyDescent="0.25">
      <c r="A18">
        <v>0.1</v>
      </c>
      <c r="B18">
        <v>1011.2083852389343</v>
      </c>
      <c r="C18">
        <v>1012.0842965936149</v>
      </c>
      <c r="D18">
        <v>1012.0825122552385</v>
      </c>
      <c r="E18">
        <v>1011.748839220029</v>
      </c>
      <c r="F18">
        <v>1011.3295537455726</v>
      </c>
      <c r="G18">
        <v>1010.9433639287603</v>
      </c>
      <c r="H18">
        <v>1010.6486101600929</v>
      </c>
      <c r="I18">
        <v>1010.4732318265936</v>
      </c>
      <c r="J18">
        <v>1010.4289071675209</v>
      </c>
      <c r="K18" t="s">
        <v>105</v>
      </c>
      <c r="L18">
        <v>0.1</v>
      </c>
      <c r="M18">
        <v>509.444032268976</v>
      </c>
      <c r="N18">
        <v>463.9788136181362</v>
      </c>
      <c r="O18">
        <v>425.54319369174351</v>
      </c>
      <c r="P18">
        <v>391.88378772958549</v>
      </c>
      <c r="Q18">
        <v>361.70324573155602</v>
      </c>
      <c r="R18">
        <v>334.18242571300902</v>
      </c>
      <c r="S18">
        <v>308.76891670228343</v>
      </c>
      <c r="T18">
        <v>285.07107156453316</v>
      </c>
      <c r="U18">
        <v>262.80010831399989</v>
      </c>
      <c r="V18" t="s">
        <v>105</v>
      </c>
    </row>
    <row r="19" spans="1:22" x14ac:dyDescent="0.25">
      <c r="A19">
        <v>0.2</v>
      </c>
      <c r="B19">
        <v>1011.20838479239</v>
      </c>
      <c r="C19">
        <v>1013.2308181708656</v>
      </c>
      <c r="D19">
        <v>1014.196107048659</v>
      </c>
      <c r="E19">
        <v>1014.6947666461334</v>
      </c>
      <c r="F19">
        <v>1015.00244310046</v>
      </c>
      <c r="G19">
        <v>1015.2581024266766</v>
      </c>
      <c r="H19">
        <v>1015.5345970233868</v>
      </c>
      <c r="I19">
        <v>1015.8705907749528</v>
      </c>
      <c r="J19">
        <v>1016.2858745241016</v>
      </c>
      <c r="K19" t="s">
        <v>105</v>
      </c>
      <c r="L19">
        <v>0.2</v>
      </c>
      <c r="M19">
        <v>509.44403528908128</v>
      </c>
      <c r="N19">
        <v>463.72929548678127</v>
      </c>
      <c r="O19">
        <v>425.0441798556854</v>
      </c>
      <c r="P19">
        <v>391.14868922696309</v>
      </c>
      <c r="Q19">
        <v>360.74977126827991</v>
      </c>
      <c r="R19">
        <v>333.02910316085547</v>
      </c>
      <c r="S19">
        <v>307.43411838840723</v>
      </c>
      <c r="T19">
        <v>283.57252492850864</v>
      </c>
      <c r="U19">
        <v>261.15485475589418</v>
      </c>
      <c r="V19" t="s">
        <v>105</v>
      </c>
    </row>
    <row r="20" spans="1:22" x14ac:dyDescent="0.25">
      <c r="A20">
        <v>0.3</v>
      </c>
      <c r="B20">
        <v>1011.2083856394233</v>
      </c>
      <c r="C20">
        <v>1014.3809635890808</v>
      </c>
      <c r="D20">
        <v>1016.3215590275032</v>
      </c>
      <c r="E20">
        <v>1017.6630301305661</v>
      </c>
      <c r="F20">
        <v>1018.7091902934114</v>
      </c>
      <c r="G20">
        <v>1019.6185792236929</v>
      </c>
      <c r="H20">
        <v>1020.4781776440923</v>
      </c>
      <c r="I20">
        <v>1021.3371405043265</v>
      </c>
      <c r="J20">
        <v>1022.2232370388101</v>
      </c>
      <c r="K20" t="s">
        <v>105</v>
      </c>
      <c r="L20">
        <v>0.3</v>
      </c>
      <c r="M20">
        <v>509.44402536257331</v>
      </c>
      <c r="N20">
        <v>463.47811357949388</v>
      </c>
      <c r="O20">
        <v>424.53935086048529</v>
      </c>
      <c r="P20">
        <v>390.40240892501606</v>
      </c>
      <c r="Q20">
        <v>359.77898299424936</v>
      </c>
      <c r="R20">
        <v>331.85205718626753</v>
      </c>
      <c r="S20">
        <v>306.06908246573431</v>
      </c>
      <c r="T20">
        <v>282.03727663788129</v>
      </c>
      <c r="U20">
        <v>259.46657521980626</v>
      </c>
      <c r="V20" t="s">
        <v>105</v>
      </c>
    </row>
    <row r="21" spans="1:22" x14ac:dyDescent="0.25">
      <c r="A21">
        <v>0.4</v>
      </c>
      <c r="B21">
        <v>1011.208387188548</v>
      </c>
      <c r="C21">
        <v>1015.534757240261</v>
      </c>
      <c r="D21">
        <v>1018.4589952390248</v>
      </c>
      <c r="E21">
        <v>1020.653969617252</v>
      </c>
      <c r="F21">
        <v>1022.4504308965786</v>
      </c>
      <c r="G21">
        <v>1024.0258015634465</v>
      </c>
      <c r="H21">
        <v>1025.4807828487812</v>
      </c>
      <c r="I21">
        <v>1026.8747747616983</v>
      </c>
      <c r="J21">
        <v>1028.2433821226712</v>
      </c>
      <c r="K21" t="s">
        <v>105</v>
      </c>
      <c r="L21">
        <v>0.4</v>
      </c>
      <c r="M21">
        <v>509.44398848007512</v>
      </c>
      <c r="N21">
        <v>463.22520705544923</v>
      </c>
      <c r="O21">
        <v>424.02864825790112</v>
      </c>
      <c r="P21">
        <v>389.64471538348891</v>
      </c>
      <c r="Q21">
        <v>358.79052040696041</v>
      </c>
      <c r="R21">
        <v>330.65068099770212</v>
      </c>
      <c r="S21">
        <v>304.67291665340275</v>
      </c>
      <c r="T21">
        <v>280.46412953437243</v>
      </c>
      <c r="U21">
        <v>257.73375804850969</v>
      </c>
      <c r="V21" t="s">
        <v>105</v>
      </c>
    </row>
    <row r="22" spans="1:22" x14ac:dyDescent="0.25">
      <c r="A22">
        <v>0.5</v>
      </c>
      <c r="B22">
        <v>1011.208382155456</v>
      </c>
      <c r="C22">
        <v>1016.6922171409587</v>
      </c>
      <c r="D22">
        <v>1020.6085495911742</v>
      </c>
      <c r="E22">
        <v>1023.667937046347</v>
      </c>
      <c r="F22">
        <v>1026.2268275377262</v>
      </c>
      <c r="G22">
        <v>1028.480812338122</v>
      </c>
      <c r="H22">
        <v>1030.5438955248974</v>
      </c>
      <c r="I22">
        <v>1032.4854640930482</v>
      </c>
      <c r="J22">
        <v>1034.3487939516365</v>
      </c>
      <c r="K22" t="s">
        <v>105</v>
      </c>
      <c r="L22">
        <v>0.5</v>
      </c>
      <c r="M22">
        <v>509.44389584638901</v>
      </c>
      <c r="N22">
        <v>462.97058246635538</v>
      </c>
      <c r="O22">
        <v>423.51201476821279</v>
      </c>
      <c r="P22">
        <v>388.87542150248936</v>
      </c>
      <c r="Q22">
        <v>357.78395707267305</v>
      </c>
      <c r="R22">
        <v>329.42430390682523</v>
      </c>
      <c r="S22">
        <v>303.24467707465459</v>
      </c>
      <c r="T22">
        <v>278.85181041948897</v>
      </c>
      <c r="U22">
        <v>255.95479584798443</v>
      </c>
      <c r="V22" t="s">
        <v>105</v>
      </c>
    </row>
    <row r="23" spans="1:22" x14ac:dyDescent="0.25">
      <c r="A23">
        <v>0.6</v>
      </c>
      <c r="B23">
        <v>1011.2083810127017</v>
      </c>
      <c r="C23">
        <v>1017.8533698498063</v>
      </c>
      <c r="D23">
        <v>1022.7703621560337</v>
      </c>
      <c r="E23">
        <v>1026.7052917651818</v>
      </c>
      <c r="F23">
        <v>1030.0390518983402</v>
      </c>
      <c r="G23">
        <v>1032.9846839392428</v>
      </c>
      <c r="H23">
        <v>1035.6690515194814</v>
      </c>
      <c r="I23">
        <v>1038.1712509377235</v>
      </c>
      <c r="J23">
        <v>1040.5420659855581</v>
      </c>
      <c r="K23" t="s">
        <v>105</v>
      </c>
      <c r="L23">
        <v>0.6</v>
      </c>
      <c r="M23">
        <v>509.4439793108134</v>
      </c>
      <c r="N23">
        <v>462.71420073645817</v>
      </c>
      <c r="O23">
        <v>422.98934726361324</v>
      </c>
      <c r="P23">
        <v>388.09430978017065</v>
      </c>
      <c r="Q23">
        <v>356.75889061402978</v>
      </c>
      <c r="R23">
        <v>328.17226218796981</v>
      </c>
      <c r="S23">
        <v>301.78338811536713</v>
      </c>
      <c r="T23">
        <v>277.19903883407653</v>
      </c>
      <c r="U23">
        <v>254.12802038471224</v>
      </c>
      <c r="V23" t="s">
        <v>105</v>
      </c>
    </row>
    <row r="24" spans="1:22" x14ac:dyDescent="0.25">
      <c r="A24">
        <v>0.7</v>
      </c>
      <c r="B24">
        <v>1011.208382922229</v>
      </c>
      <c r="C24">
        <v>1019.0182362520414</v>
      </c>
      <c r="D24">
        <v>1024.9445705001076</v>
      </c>
      <c r="E24">
        <v>1029.7663966795481</v>
      </c>
      <c r="F24">
        <v>1033.887801542247</v>
      </c>
      <c r="G24">
        <v>1037.5385232359097</v>
      </c>
      <c r="H24">
        <v>1040.8578396371813</v>
      </c>
      <c r="I24">
        <v>1043.934264520914</v>
      </c>
      <c r="J24">
        <v>1046.825902526087</v>
      </c>
      <c r="L24">
        <v>0.7</v>
      </c>
      <c r="M24">
        <v>509.44402920029711</v>
      </c>
      <c r="N24">
        <v>462.4560650674631</v>
      </c>
      <c r="O24">
        <v>422.46055922949427</v>
      </c>
      <c r="P24">
        <v>387.30116498634504</v>
      </c>
      <c r="Q24">
        <v>355.71487730937707</v>
      </c>
      <c r="R24">
        <v>326.89386863558525</v>
      </c>
      <c r="S24">
        <v>300.28805092547634</v>
      </c>
      <c r="T24">
        <v>275.5044361542279</v>
      </c>
      <c r="U24">
        <v>252.25169025567322</v>
      </c>
    </row>
    <row r="30" spans="1:22" x14ac:dyDescent="0.25">
      <c r="A30" t="s">
        <v>95</v>
      </c>
      <c r="B30">
        <v>0</v>
      </c>
      <c r="C30">
        <v>0.5</v>
      </c>
      <c r="D30">
        <v>1</v>
      </c>
      <c r="E30">
        <v>1.5</v>
      </c>
      <c r="F30">
        <v>2</v>
      </c>
      <c r="G30">
        <v>2.5</v>
      </c>
      <c r="H30">
        <v>3</v>
      </c>
      <c r="I30">
        <v>3.5</v>
      </c>
      <c r="J30">
        <v>4</v>
      </c>
      <c r="L30" t="s">
        <v>96</v>
      </c>
      <c r="M30">
        <v>0</v>
      </c>
      <c r="N30">
        <v>0.5</v>
      </c>
      <c r="O30">
        <v>1</v>
      </c>
      <c r="P30">
        <v>1.5</v>
      </c>
      <c r="Q30">
        <v>2</v>
      </c>
      <c r="R30">
        <v>2.5</v>
      </c>
      <c r="S30">
        <v>3</v>
      </c>
      <c r="T30">
        <v>3.5</v>
      </c>
      <c r="U30">
        <v>4</v>
      </c>
    </row>
    <row r="31" spans="1:22" x14ac:dyDescent="0.25">
      <c r="A31">
        <v>0</v>
      </c>
      <c r="B31">
        <v>3547.8230841822342</v>
      </c>
      <c r="C31">
        <v>3365.57078323015</v>
      </c>
      <c r="D31">
        <v>3234.3513596813141</v>
      </c>
      <c r="E31">
        <v>3136.6448239996421</v>
      </c>
      <c r="F31">
        <v>3062.6874648991502</v>
      </c>
      <c r="G31">
        <v>3006.5208906382363</v>
      </c>
      <c r="H31">
        <v>2964.2784968235856</v>
      </c>
      <c r="I31">
        <v>2933.3502772487564</v>
      </c>
      <c r="J31">
        <v>2911.9209653074272</v>
      </c>
      <c r="K31" t="s">
        <v>105</v>
      </c>
      <c r="L31">
        <v>0</v>
      </c>
      <c r="M31">
        <v>1804.0898896262804</v>
      </c>
      <c r="N31">
        <v>1650.3718985738367</v>
      </c>
      <c r="O31">
        <v>1527.7900085719077</v>
      </c>
      <c r="P31">
        <v>1425.5588468637122</v>
      </c>
      <c r="Q31">
        <v>1337.6647162463926</v>
      </c>
      <c r="R31">
        <v>1260.4117681182447</v>
      </c>
      <c r="S31">
        <v>1191.361984313419</v>
      </c>
      <c r="T31">
        <v>1128.8170454710528</v>
      </c>
      <c r="U31">
        <v>1071.5446838153919</v>
      </c>
      <c r="V31" t="s">
        <v>105</v>
      </c>
    </row>
    <row r="32" spans="1:22" x14ac:dyDescent="0.25">
      <c r="A32">
        <v>0.1</v>
      </c>
      <c r="B32">
        <v>3547.8227546525363</v>
      </c>
      <c r="C32">
        <v>3370.552955137327</v>
      </c>
      <c r="D32">
        <v>3242.8042729228146</v>
      </c>
      <c r="E32">
        <v>3147.6710567856417</v>
      </c>
      <c r="F32">
        <v>3075.6949027367314</v>
      </c>
      <c r="G32">
        <v>3021.0950542893952</v>
      </c>
      <c r="H32">
        <v>2980.112081605545</v>
      </c>
      <c r="I32">
        <v>2950.2049369391571</v>
      </c>
      <c r="J32">
        <v>2929.6026406839505</v>
      </c>
      <c r="K32" t="s">
        <v>105</v>
      </c>
      <c r="L32">
        <v>0.1</v>
      </c>
      <c r="M32">
        <v>1804.090029033601</v>
      </c>
      <c r="N32">
        <v>1652.7960673160978</v>
      </c>
      <c r="O32">
        <v>1531.7896325581532</v>
      </c>
      <c r="P32">
        <v>1430.6345811726928</v>
      </c>
      <c r="Q32">
        <v>1343.4989321743185</v>
      </c>
      <c r="R32">
        <v>1266.7872380706895</v>
      </c>
      <c r="S32">
        <v>1198.1244614294542</v>
      </c>
      <c r="T32">
        <v>1135.8538298726448</v>
      </c>
      <c r="U32">
        <v>1078.7719781414871</v>
      </c>
      <c r="V32" t="s">
        <v>105</v>
      </c>
    </row>
    <row r="33" spans="1:22" x14ac:dyDescent="0.25">
      <c r="A33">
        <v>0.2</v>
      </c>
      <c r="B33">
        <v>3547.8230014464048</v>
      </c>
      <c r="C33">
        <v>3375.5485282030186</v>
      </c>
      <c r="D33">
        <v>3251.3069980368441</v>
      </c>
      <c r="E33">
        <v>3158.7827419301375</v>
      </c>
      <c r="F33">
        <v>3088.8229959363994</v>
      </c>
      <c r="G33">
        <v>3035.8222023546809</v>
      </c>
      <c r="H33">
        <v>2996.1279320263884</v>
      </c>
      <c r="I33">
        <v>2967.2676174884755</v>
      </c>
      <c r="J33">
        <v>2947.5148753817953</v>
      </c>
      <c r="K33" t="s">
        <v>105</v>
      </c>
      <c r="L33">
        <v>0.2</v>
      </c>
      <c r="M33">
        <v>1804.0899905542808</v>
      </c>
      <c r="N33">
        <v>1655.2293620432968</v>
      </c>
      <c r="O33">
        <v>1535.816763998896</v>
      </c>
      <c r="P33">
        <v>1435.7609886906916</v>
      </c>
      <c r="Q33">
        <v>1349.4046307487934</v>
      </c>
      <c r="R33">
        <v>1273.2538809550961</v>
      </c>
      <c r="S33">
        <v>1204.9958559010154</v>
      </c>
      <c r="T33">
        <v>1143.0154207766761</v>
      </c>
      <c r="U33">
        <v>1086.1380431687307</v>
      </c>
      <c r="V33" t="s">
        <v>105</v>
      </c>
    </row>
    <row r="34" spans="1:22" x14ac:dyDescent="0.25">
      <c r="A34">
        <v>0.3</v>
      </c>
      <c r="B34">
        <v>3547.8225333112396</v>
      </c>
      <c r="C34">
        <v>3380.5612265894342</v>
      </c>
      <c r="D34">
        <v>3259.8600650413646</v>
      </c>
      <c r="E34">
        <v>3169.9812702300806</v>
      </c>
      <c r="F34">
        <v>3102.0740746124211</v>
      </c>
      <c r="G34">
        <v>3050.7056987231099</v>
      </c>
      <c r="H34">
        <v>3012.3304934888038</v>
      </c>
      <c r="I34">
        <v>2984.5440200313028</v>
      </c>
      <c r="J34">
        <v>2965.6645910526991</v>
      </c>
      <c r="K34" t="s">
        <v>105</v>
      </c>
      <c r="L34">
        <v>0.3</v>
      </c>
      <c r="M34">
        <v>1804.0901170284642</v>
      </c>
      <c r="N34">
        <v>1657.6720660710428</v>
      </c>
      <c r="O34">
        <v>1539.8735230725219</v>
      </c>
      <c r="P34">
        <v>1440.9387497381581</v>
      </c>
      <c r="Q34">
        <v>1355.3834971022081</v>
      </c>
      <c r="R34">
        <v>1279.8138179393754</v>
      </c>
      <c r="S34">
        <v>1211.9789073573188</v>
      </c>
      <c r="T34">
        <v>1150.3051847952038</v>
      </c>
      <c r="U34">
        <v>1093.6469962447341</v>
      </c>
      <c r="V34" t="s">
        <v>105</v>
      </c>
    </row>
    <row r="35" spans="1:22" x14ac:dyDescent="0.25">
      <c r="A35">
        <v>0.4</v>
      </c>
      <c r="B35">
        <v>3547.8216771361299</v>
      </c>
      <c r="C35">
        <v>3385.591446362318</v>
      </c>
      <c r="D35">
        <v>3268.4634122180428</v>
      </c>
      <c r="E35">
        <v>3181.2676172023225</v>
      </c>
      <c r="F35">
        <v>3115.4501726950461</v>
      </c>
      <c r="G35">
        <v>3065.7489301260653</v>
      </c>
      <c r="H35">
        <v>3028.7243729538295</v>
      </c>
      <c r="I35">
        <v>3002.0399693725508</v>
      </c>
      <c r="J35">
        <v>2984.0589739771704</v>
      </c>
      <c r="K35" t="s">
        <v>105</v>
      </c>
      <c r="L35">
        <v>0.4</v>
      </c>
      <c r="M35">
        <v>1804.0905869503163</v>
      </c>
      <c r="N35">
        <v>1660.124709656201</v>
      </c>
      <c r="O35">
        <v>1543.9602155202174</v>
      </c>
      <c r="P35">
        <v>1446.1689802961826</v>
      </c>
      <c r="Q35">
        <v>1361.4368131900287</v>
      </c>
      <c r="R35">
        <v>1286.4690532449167</v>
      </c>
      <c r="S35">
        <v>1219.0764436761544</v>
      </c>
      <c r="T35">
        <v>1157.7267317186117</v>
      </c>
      <c r="U35">
        <v>1101.3031043176356</v>
      </c>
      <c r="V35" t="s">
        <v>105</v>
      </c>
    </row>
    <row r="36" spans="1:22" x14ac:dyDescent="0.25">
      <c r="A36">
        <v>0.5</v>
      </c>
      <c r="B36">
        <v>3547.8244587895419</v>
      </c>
      <c r="C36">
        <v>3390.6383999394247</v>
      </c>
      <c r="D36">
        <v>3277.1175918872268</v>
      </c>
      <c r="E36">
        <v>3192.6433182043097</v>
      </c>
      <c r="F36">
        <v>3128.9538670190764</v>
      </c>
      <c r="G36">
        <v>3080.9554824661291</v>
      </c>
      <c r="H36">
        <v>3045.314364557707</v>
      </c>
      <c r="I36">
        <v>3019.7615565307128</v>
      </c>
      <c r="J36">
        <v>3002.7052179801817</v>
      </c>
      <c r="K36" t="s">
        <v>105</v>
      </c>
      <c r="L36">
        <v>0.5</v>
      </c>
      <c r="M36">
        <v>1804.0917671997261</v>
      </c>
      <c r="N36">
        <v>1662.5872854985789</v>
      </c>
      <c r="O36">
        <v>1548.0769830762597</v>
      </c>
      <c r="P36">
        <v>1451.4522548360876</v>
      </c>
      <c r="Q36">
        <v>1367.5661311230976</v>
      </c>
      <c r="R36">
        <v>1293.2219048556315</v>
      </c>
      <c r="S36">
        <v>1226.2914900050564</v>
      </c>
      <c r="T36">
        <v>1165.2839399321417</v>
      </c>
      <c r="U36">
        <v>1109.1110693721919</v>
      </c>
      <c r="V36" t="s">
        <v>105</v>
      </c>
    </row>
    <row r="37" spans="1:22" x14ac:dyDescent="0.25">
      <c r="A37">
        <v>0.6</v>
      </c>
      <c r="B37">
        <v>3547.8250903379658</v>
      </c>
      <c r="C37">
        <v>3395.7027865110267</v>
      </c>
      <c r="D37">
        <v>3285.8233843979669</v>
      </c>
      <c r="E37">
        <v>3204.1098714911027</v>
      </c>
      <c r="F37">
        <v>3142.5873645108313</v>
      </c>
      <c r="G37">
        <v>3096.3289612698122</v>
      </c>
      <c r="H37">
        <v>3062.105434433332</v>
      </c>
      <c r="I37">
        <v>3037.7150551813502</v>
      </c>
      <c r="J37">
        <v>3021.6110224678114</v>
      </c>
      <c r="K37" t="s">
        <v>105</v>
      </c>
      <c r="L37">
        <v>0.6</v>
      </c>
      <c r="M37">
        <v>1804.0907037763257</v>
      </c>
      <c r="N37">
        <v>1665.0600415251597</v>
      </c>
      <c r="O37">
        <v>1552.2243260064301</v>
      </c>
      <c r="P37">
        <v>1456.7893935747256</v>
      </c>
      <c r="Q37">
        <v>1373.7729314062167</v>
      </c>
      <c r="R37">
        <v>1300.0746039690378</v>
      </c>
      <c r="S37">
        <v>1233.6271529573432</v>
      </c>
      <c r="T37">
        <v>1172.9806096886311</v>
      </c>
      <c r="U37">
        <v>1117.0756538464682</v>
      </c>
      <c r="V37" t="s">
        <v>105</v>
      </c>
    </row>
    <row r="38" spans="1:22" x14ac:dyDescent="0.25">
      <c r="A38">
        <v>0.7</v>
      </c>
      <c r="B38">
        <v>3547.8240350246724</v>
      </c>
      <c r="C38">
        <v>3400.7843385012261</v>
      </c>
      <c r="D38">
        <v>3294.581108750659</v>
      </c>
      <c r="E38">
        <v>3215.6685085586323</v>
      </c>
      <c r="F38">
        <v>3156.3532797506064</v>
      </c>
      <c r="G38">
        <v>3111.873142109981</v>
      </c>
      <c r="H38">
        <v>3079.1026979011845</v>
      </c>
      <c r="I38">
        <v>3055.9070550070833</v>
      </c>
      <c r="J38">
        <v>3040.7844062319527</v>
      </c>
      <c r="L38">
        <v>0.7</v>
      </c>
      <c r="M38">
        <v>1804.090068131828</v>
      </c>
      <c r="N38">
        <v>1667.5429251914936</v>
      </c>
      <c r="O38">
        <v>1556.4026987322895</v>
      </c>
      <c r="P38">
        <v>1462.1812657499206</v>
      </c>
      <c r="Q38">
        <v>1380.0588291142624</v>
      </c>
      <c r="R38">
        <v>1307.0294391889861</v>
      </c>
      <c r="S38">
        <v>1241.0865776026064</v>
      </c>
      <c r="T38">
        <v>1180.8209056252476</v>
      </c>
      <c r="U38">
        <v>1125.2018129166813</v>
      </c>
    </row>
    <row r="44" spans="1:22" x14ac:dyDescent="0.25">
      <c r="A44" t="s">
        <v>97</v>
      </c>
      <c r="B44">
        <v>0</v>
      </c>
      <c r="C44">
        <v>0.5</v>
      </c>
      <c r="D44">
        <v>1</v>
      </c>
      <c r="E44">
        <v>1.5</v>
      </c>
      <c r="F44">
        <v>2</v>
      </c>
      <c r="G44">
        <v>2.5</v>
      </c>
      <c r="H44">
        <v>3</v>
      </c>
      <c r="I44">
        <v>3.5</v>
      </c>
      <c r="J44">
        <v>4</v>
      </c>
      <c r="L44" t="s">
        <v>98</v>
      </c>
      <c r="M44">
        <v>0</v>
      </c>
      <c r="N44">
        <v>0.5</v>
      </c>
      <c r="O44">
        <v>1</v>
      </c>
      <c r="P44">
        <v>1.5</v>
      </c>
      <c r="Q44">
        <v>2</v>
      </c>
      <c r="R44">
        <v>2.5</v>
      </c>
      <c r="S44">
        <v>3</v>
      </c>
      <c r="T44">
        <v>3.5</v>
      </c>
      <c r="U44">
        <v>4</v>
      </c>
    </row>
    <row r="45" spans="1:22" x14ac:dyDescent="0.25">
      <c r="A45">
        <v>0</v>
      </c>
      <c r="B45">
        <v>3.2045029464955856</v>
      </c>
      <c r="C45">
        <v>3.0024498018396644</v>
      </c>
      <c r="D45">
        <v>2.8572642653125291</v>
      </c>
      <c r="E45">
        <v>2.7493223456290909</v>
      </c>
      <c r="F45">
        <v>2.6677131644655114</v>
      </c>
      <c r="G45">
        <v>2.6057917608547156</v>
      </c>
      <c r="H45">
        <v>2.5592537918961482</v>
      </c>
      <c r="I45">
        <v>2.5251984925845563</v>
      </c>
      <c r="J45">
        <v>2.5016115105197532</v>
      </c>
      <c r="K45" t="s">
        <v>105</v>
      </c>
      <c r="L45">
        <v>0</v>
      </c>
      <c r="M45">
        <v>1.3908276662894077</v>
      </c>
      <c r="N45">
        <v>1.2564916612368151</v>
      </c>
      <c r="O45">
        <v>1.1507574214901732</v>
      </c>
      <c r="P45">
        <v>1.0636286194850113</v>
      </c>
      <c r="Q45">
        <v>0.98955581219256739</v>
      </c>
      <c r="R45">
        <v>0.92514171488879227</v>
      </c>
      <c r="S45">
        <v>0.8681533056171391</v>
      </c>
      <c r="T45">
        <v>0.81704057914244888</v>
      </c>
      <c r="U45">
        <v>0.77068296781271894</v>
      </c>
      <c r="V45" t="s">
        <v>105</v>
      </c>
    </row>
    <row r="46" spans="1:22" x14ac:dyDescent="0.25">
      <c r="A46">
        <v>0.1</v>
      </c>
      <c r="B46">
        <v>3.2045025807519423</v>
      </c>
      <c r="C46">
        <v>3.0073046568734996</v>
      </c>
      <c r="D46">
        <v>2.8654080971244293</v>
      </c>
      <c r="E46">
        <v>2.759840110819916</v>
      </c>
      <c r="F46">
        <v>2.6800097192169434</v>
      </c>
      <c r="G46">
        <v>2.6194565235653293</v>
      </c>
      <c r="H46">
        <v>2.5739863551848776</v>
      </c>
      <c r="I46">
        <v>2.5407686240567311</v>
      </c>
      <c r="J46">
        <v>2.517833395830857</v>
      </c>
      <c r="K46" t="s">
        <v>105</v>
      </c>
      <c r="L46">
        <v>0.1</v>
      </c>
      <c r="M46">
        <v>1.3908277980366546</v>
      </c>
      <c r="N46">
        <v>1.2587752154529264</v>
      </c>
      <c r="O46">
        <v>1.1545138110551398</v>
      </c>
      <c r="P46">
        <v>1.0683821957844934</v>
      </c>
      <c r="Q46">
        <v>0.99500468052692026</v>
      </c>
      <c r="R46">
        <v>0.93107982713434423</v>
      </c>
      <c r="S46">
        <v>0.87443454110163987</v>
      </c>
      <c r="T46">
        <v>0.82355821116460326</v>
      </c>
      <c r="U46">
        <v>0.77735753136056285</v>
      </c>
      <c r="V46" t="s">
        <v>105</v>
      </c>
    </row>
    <row r="47" spans="1:22" x14ac:dyDescent="0.25">
      <c r="A47">
        <v>0.2</v>
      </c>
      <c r="B47">
        <v>3.204502854667433</v>
      </c>
      <c r="C47">
        <v>3.0121722526412373</v>
      </c>
      <c r="D47">
        <v>2.8736002831672676</v>
      </c>
      <c r="E47">
        <v>2.7704397612900391</v>
      </c>
      <c r="F47">
        <v>2.6924206618393391</v>
      </c>
      <c r="G47">
        <v>2.6332648212031966</v>
      </c>
      <c r="H47">
        <v>2.5888882624268361</v>
      </c>
      <c r="I47">
        <v>2.5565301643918925</v>
      </c>
      <c r="J47">
        <v>2.5342654219400593</v>
      </c>
      <c r="K47" t="s">
        <v>105</v>
      </c>
      <c r="L47">
        <v>0.2</v>
      </c>
      <c r="M47">
        <v>1.3908277616716802</v>
      </c>
      <c r="N47">
        <v>1.2610676864346253</v>
      </c>
      <c r="O47">
        <v>1.1582970461131037</v>
      </c>
      <c r="P47">
        <v>1.0731850201404332</v>
      </c>
      <c r="Q47">
        <v>1.0005229030963656</v>
      </c>
      <c r="R47">
        <v>0.93710622040323666</v>
      </c>
      <c r="S47">
        <v>0.88082103280923607</v>
      </c>
      <c r="T47">
        <v>0.83019620959987062</v>
      </c>
      <c r="U47">
        <v>0.78416565796126336</v>
      </c>
      <c r="V47" t="s">
        <v>105</v>
      </c>
    </row>
    <row r="48" spans="1:22" x14ac:dyDescent="0.25">
      <c r="A48">
        <v>0.3</v>
      </c>
      <c r="B48">
        <v>3.2045023350861546</v>
      </c>
      <c r="C48">
        <v>3.0170567006126499</v>
      </c>
      <c r="D48">
        <v>2.8818413337103284</v>
      </c>
      <c r="E48">
        <v>2.7811226420766237</v>
      </c>
      <c r="F48">
        <v>2.7049482098676312</v>
      </c>
      <c r="G48">
        <v>2.6472198118083043</v>
      </c>
      <c r="H48">
        <v>2.6039636360588885</v>
      </c>
      <c r="I48">
        <v>2.5724883709775033</v>
      </c>
      <c r="J48">
        <v>2.5509139270625218</v>
      </c>
      <c r="K48" t="s">
        <v>105</v>
      </c>
      <c r="L48">
        <v>0.3</v>
      </c>
      <c r="M48">
        <v>1.390827881196435</v>
      </c>
      <c r="N48">
        <v>1.2633693529521608</v>
      </c>
      <c r="O48">
        <v>1.1621091289521148</v>
      </c>
      <c r="P48">
        <v>1.078037770973574</v>
      </c>
      <c r="Q48">
        <v>1.0061121254881056</v>
      </c>
      <c r="R48">
        <v>0.94322298075453403</v>
      </c>
      <c r="S48">
        <v>0.88731547763127272</v>
      </c>
      <c r="T48">
        <v>0.83695789151636157</v>
      </c>
      <c r="U48">
        <v>0.79111139658813423</v>
      </c>
      <c r="V48" t="s">
        <v>105</v>
      </c>
    </row>
    <row r="49" spans="1:22" x14ac:dyDescent="0.25">
      <c r="A49">
        <v>0.4</v>
      </c>
      <c r="B49">
        <v>3.2045013848209596</v>
      </c>
      <c r="C49">
        <v>3.0219584258879122</v>
      </c>
      <c r="D49">
        <v>2.8901311040700248</v>
      </c>
      <c r="E49">
        <v>2.7918896344973718</v>
      </c>
      <c r="F49">
        <v>2.7175942459555924</v>
      </c>
      <c r="G49">
        <v>2.661324662568973</v>
      </c>
      <c r="H49">
        <v>2.6192167498879377</v>
      </c>
      <c r="I49">
        <v>2.5886485984765013</v>
      </c>
      <c r="J49">
        <v>2.56778548862335</v>
      </c>
      <c r="K49" t="s">
        <v>105</v>
      </c>
      <c r="L49">
        <v>0.4</v>
      </c>
      <c r="M49">
        <v>1.3908283252973201</v>
      </c>
      <c r="N49">
        <v>1.2656807175145985</v>
      </c>
      <c r="O49">
        <v>1.1659503604726849</v>
      </c>
      <c r="P49">
        <v>1.0829415313427893</v>
      </c>
      <c r="Q49">
        <v>1.0117736176585561</v>
      </c>
      <c r="R49">
        <v>0.94943208913876165</v>
      </c>
      <c r="S49">
        <v>0.89392066059850395</v>
      </c>
      <c r="T49">
        <v>0.84384680607941864</v>
      </c>
      <c r="U49">
        <v>0.79819894571520522</v>
      </c>
      <c r="V49" t="s">
        <v>105</v>
      </c>
    </row>
    <row r="50" spans="1:22" x14ac:dyDescent="0.25">
      <c r="A50">
        <v>0.5</v>
      </c>
      <c r="B50">
        <v>3.2045044721665557</v>
      </c>
      <c r="C50">
        <v>3.0268765433004496</v>
      </c>
      <c r="D50">
        <v>2.8984701278709366</v>
      </c>
      <c r="E50">
        <v>2.8027422353419036</v>
      </c>
      <c r="F50">
        <v>2.7303612407565119</v>
      </c>
      <c r="G50">
        <v>2.6755827410840118</v>
      </c>
      <c r="H50">
        <v>2.6346520550240013</v>
      </c>
      <c r="I50">
        <v>2.6050164521615904</v>
      </c>
      <c r="J50">
        <v>2.5848866344824115</v>
      </c>
      <c r="K50" t="s">
        <v>105</v>
      </c>
      <c r="L50">
        <v>0.5</v>
      </c>
      <c r="M50">
        <v>1.3908294406951902</v>
      </c>
      <c r="N50">
        <v>1.2680017739706642</v>
      </c>
      <c r="O50">
        <v>1.1698208910972234</v>
      </c>
      <c r="P50">
        <v>1.0878968836053675</v>
      </c>
      <c r="Q50">
        <v>1.0175089075501536</v>
      </c>
      <c r="R50">
        <v>0.95573582286257508</v>
      </c>
      <c r="S50">
        <v>0.90063955632976478</v>
      </c>
      <c r="T50">
        <v>0.85086676059782496</v>
      </c>
      <c r="U50">
        <v>0.80543291290160557</v>
      </c>
      <c r="V50" t="s">
        <v>105</v>
      </c>
    </row>
    <row r="51" spans="1:22" x14ac:dyDescent="0.25">
      <c r="A51">
        <v>0.6</v>
      </c>
      <c r="B51">
        <v>3.2045051731195522</v>
      </c>
      <c r="C51">
        <v>3.0318118131919931</v>
      </c>
      <c r="D51">
        <v>2.9068591884494084</v>
      </c>
      <c r="E51">
        <v>2.8136818956805749</v>
      </c>
      <c r="F51">
        <v>2.7432512478433742</v>
      </c>
      <c r="G51">
        <v>2.6899974191335141</v>
      </c>
      <c r="H51">
        <v>2.6502741624345685</v>
      </c>
      <c r="I51">
        <v>2.6215976977739959</v>
      </c>
      <c r="J51">
        <v>2.6022243905068279</v>
      </c>
      <c r="K51" t="s">
        <v>105</v>
      </c>
      <c r="L51">
        <v>0.6</v>
      </c>
      <c r="M51">
        <v>1.3908284357040552</v>
      </c>
      <c r="N51">
        <v>1.2703327602535279</v>
      </c>
      <c r="O51">
        <v>1.1737212086221382</v>
      </c>
      <c r="P51">
        <v>1.0929046400495863</v>
      </c>
      <c r="Q51">
        <v>1.0233194551728071</v>
      </c>
      <c r="R51">
        <v>0.96213638233335963</v>
      </c>
      <c r="S51">
        <v>0.90747522205254205</v>
      </c>
      <c r="T51">
        <v>0.85802149974392583</v>
      </c>
      <c r="U51">
        <v>0.81281797810462597</v>
      </c>
      <c r="V51" t="s">
        <v>105</v>
      </c>
    </row>
    <row r="52" spans="1:22" x14ac:dyDescent="0.25">
      <c r="A52">
        <v>0.7</v>
      </c>
      <c r="B52">
        <v>3.2045040018316753</v>
      </c>
      <c r="C52">
        <v>3.0367639260034749</v>
      </c>
      <c r="D52">
        <v>2.9152985579674451</v>
      </c>
      <c r="E52">
        <v>2.8247097677864828</v>
      </c>
      <c r="F52">
        <v>2.7562667589484353</v>
      </c>
      <c r="G52">
        <v>2.7045722371807921</v>
      </c>
      <c r="H52">
        <v>2.6660878175459217</v>
      </c>
      <c r="I52">
        <v>2.6383984011555031</v>
      </c>
      <c r="J52">
        <v>2.6198060721193839</v>
      </c>
      <c r="L52">
        <v>0.7</v>
      </c>
      <c r="M52">
        <v>1.3908278349865375</v>
      </c>
      <c r="N52">
        <v>1.2726736290711618</v>
      </c>
      <c r="O52">
        <v>1.1776517559987718</v>
      </c>
      <c r="P52">
        <v>1.0979656577996595</v>
      </c>
      <c r="Q52">
        <v>1.0292068514677317</v>
      </c>
      <c r="R52">
        <v>0.96863602642598778</v>
      </c>
      <c r="S52">
        <v>0.91443075764267234</v>
      </c>
      <c r="T52">
        <v>0.86531511621364521</v>
      </c>
      <c r="U52">
        <v>0.82035901307344505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Model</vt:lpstr>
      <vt:lpstr>Output</vt:lpstr>
      <vt:lpstr>Converted Output</vt:lpstr>
      <vt:lpstr>SENS SERIES 2 - SEL1</vt:lpstr>
      <vt:lpstr>SENS SERIES 2 - SEL2</vt:lpstr>
      <vt:lpstr>SENS SERIES 1 - SEL1</vt:lpstr>
      <vt:lpstr>SENS SERIES 1 - SEL2</vt:lpstr>
      <vt:lpstr>SCENARIO SERIES 1</vt:lpstr>
      <vt:lpstr>SCENARIO SERIES 2</vt:lpstr>
      <vt:lpstr>SCENARIO SERIES 3</vt:lpstr>
      <vt:lpstr>SCENARIO SERIES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Rasmus Bang</dc:creator>
  <cp:lastModifiedBy>Rasmus Bang</cp:lastModifiedBy>
  <dcterms:created xsi:type="dcterms:W3CDTF">2022-07-25T10:02:26Z</dcterms:created>
  <dcterms:modified xsi:type="dcterms:W3CDTF">2022-08-17T09:32:28Z</dcterms:modified>
</cp:coreProperties>
</file>